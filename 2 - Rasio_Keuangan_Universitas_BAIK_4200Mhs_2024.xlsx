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AA312035-E6A5-46B4-82B1-6C4F675B1736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PANDUAN" sheetId="1" r:id="rId1"/>
    <sheet name="INPUT DATA" sheetId="2" r:id="rId2"/>
    <sheet name="HASIL RASIO" sheetId="3" r:id="rId3"/>
    <sheet name="IKK" sheetId="4" r:id="rId4"/>
    <sheet name="VARIANS ANGGARAN" sheetId="5" r:id="rId5"/>
    <sheet name="TRIDHARMA ATT" sheetId="6" r:id="rId6"/>
    <sheet name="SCORECARD CFI" sheetId="7" r:id="rId7"/>
    <sheet name="DASHBOARD" sheetId="8" r:id="rId8"/>
    <sheet name="JADWAL MONITORING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5" i="3" l="1"/>
  <c r="J27" i="8"/>
  <c r="J26" i="8"/>
  <c r="F26" i="8"/>
  <c r="J25" i="8"/>
  <c r="L17" i="8"/>
  <c r="J17" i="8"/>
  <c r="L16" i="8"/>
  <c r="J16" i="8"/>
  <c r="I12" i="8"/>
  <c r="C12" i="8"/>
  <c r="I11" i="8"/>
  <c r="C11" i="8"/>
  <c r="I10" i="8"/>
  <c r="C10" i="8"/>
  <c r="K9" i="8"/>
  <c r="I9" i="8"/>
  <c r="C9" i="8"/>
  <c r="I8" i="8"/>
  <c r="C8" i="8"/>
  <c r="C7" i="6"/>
  <c r="B6" i="6"/>
  <c r="D6" i="6" s="1"/>
  <c r="B5" i="6"/>
  <c r="D5" i="6" s="1"/>
  <c r="D4" i="6"/>
  <c r="D7" i="6" s="1"/>
  <c r="B4" i="6"/>
  <c r="B3" i="6"/>
  <c r="B9" i="5"/>
  <c r="B8" i="5"/>
  <c r="G7" i="5"/>
  <c r="D7" i="5"/>
  <c r="C7" i="5"/>
  <c r="B7" i="5"/>
  <c r="E7" i="5" s="1"/>
  <c r="F7" i="5" s="1"/>
  <c r="B6" i="5"/>
  <c r="C5" i="5"/>
  <c r="D5" i="5" s="1"/>
  <c r="B5" i="5"/>
  <c r="B4" i="5"/>
  <c r="E10" i="4"/>
  <c r="E59" i="3"/>
  <c r="E56" i="3"/>
  <c r="E54" i="3"/>
  <c r="G52" i="3"/>
  <c r="F51" i="3"/>
  <c r="G48" i="3"/>
  <c r="G46" i="3"/>
  <c r="F46" i="3"/>
  <c r="E46" i="3"/>
  <c r="K46" i="3" s="1"/>
  <c r="L26" i="8" s="1"/>
  <c r="G45" i="3"/>
  <c r="F45" i="3"/>
  <c r="E45" i="3"/>
  <c r="K45" i="3" s="1"/>
  <c r="L25" i="8" s="1"/>
  <c r="G42" i="3"/>
  <c r="F42" i="3"/>
  <c r="G41" i="3"/>
  <c r="F39" i="3"/>
  <c r="G34" i="3"/>
  <c r="F34" i="3"/>
  <c r="E34" i="3"/>
  <c r="G31" i="3"/>
  <c r="F31" i="3"/>
  <c r="E31" i="3"/>
  <c r="G28" i="3"/>
  <c r="F28" i="3"/>
  <c r="E28" i="3"/>
  <c r="K26" i="3"/>
  <c r="F28" i="8" s="1"/>
  <c r="J26" i="3"/>
  <c r="E26" i="3"/>
  <c r="D28" i="8" s="1"/>
  <c r="G22" i="3"/>
  <c r="F21" i="3"/>
  <c r="G20" i="3"/>
  <c r="G18" i="3"/>
  <c r="G17" i="3"/>
  <c r="K14" i="3"/>
  <c r="J14" i="3"/>
  <c r="E14" i="3"/>
  <c r="K13" i="3"/>
  <c r="F22" i="8" s="1"/>
  <c r="G13" i="3"/>
  <c r="F13" i="3"/>
  <c r="E13" i="3"/>
  <c r="G12" i="3"/>
  <c r="F12" i="3"/>
  <c r="J11" i="3"/>
  <c r="G11" i="3"/>
  <c r="F11" i="3"/>
  <c r="E11" i="3"/>
  <c r="D20" i="8" s="1"/>
  <c r="K7" i="3"/>
  <c r="F18" i="8" s="1"/>
  <c r="G7" i="3"/>
  <c r="F7" i="3"/>
  <c r="E7" i="3"/>
  <c r="G6" i="3"/>
  <c r="F6" i="3"/>
  <c r="E6" i="3"/>
  <c r="K6" i="3" s="1"/>
  <c r="F17" i="8" s="1"/>
  <c r="G5" i="3"/>
  <c r="D77" i="2"/>
  <c r="G27" i="3" s="1"/>
  <c r="C67" i="2"/>
  <c r="B67" i="2"/>
  <c r="E66" i="2"/>
  <c r="D66" i="2"/>
  <c r="E65" i="2"/>
  <c r="D65" i="2"/>
  <c r="E64" i="2"/>
  <c r="D64" i="2"/>
  <c r="D67" i="2" s="1"/>
  <c r="C59" i="2"/>
  <c r="E58" i="2"/>
  <c r="D58" i="2"/>
  <c r="C58" i="2"/>
  <c r="C8" i="5" s="1"/>
  <c r="D8" i="5" s="1"/>
  <c r="E57" i="2"/>
  <c r="D57" i="2"/>
  <c r="C57" i="2"/>
  <c r="C56" i="2"/>
  <c r="D56" i="2" s="1"/>
  <c r="C55" i="2"/>
  <c r="B50" i="2"/>
  <c r="D49" i="2"/>
  <c r="C49" i="2"/>
  <c r="F59" i="3" s="1"/>
  <c r="B49" i="2"/>
  <c r="D40" i="2"/>
  <c r="G26" i="3" s="1"/>
  <c r="C40" i="2"/>
  <c r="F26" i="3" s="1"/>
  <c r="B40" i="2"/>
  <c r="D30" i="2"/>
  <c r="G55" i="3" s="1"/>
  <c r="C30" i="2"/>
  <c r="B30" i="2"/>
  <c r="D16" i="2"/>
  <c r="G40" i="3" s="1"/>
  <c r="C16" i="2"/>
  <c r="F41" i="3" s="1"/>
  <c r="B16" i="2"/>
  <c r="D15" i="2"/>
  <c r="G37" i="3" s="1"/>
  <c r="C15" i="2"/>
  <c r="F37" i="3" s="1"/>
  <c r="B15" i="2"/>
  <c r="D14" i="2"/>
  <c r="G19" i="3" s="1"/>
  <c r="C14" i="2"/>
  <c r="B14" i="2"/>
  <c r="E47" i="3" s="1"/>
  <c r="D11" i="8" l="1"/>
  <c r="K54" i="3"/>
  <c r="E11" i="8" s="1"/>
  <c r="K56" i="3"/>
  <c r="K8" i="8" s="1"/>
  <c r="B8" i="4"/>
  <c r="D8" i="4" s="1"/>
  <c r="F8" i="4" s="1"/>
  <c r="J8" i="8"/>
  <c r="E52" i="3"/>
  <c r="E48" i="3"/>
  <c r="E18" i="3"/>
  <c r="E12" i="3"/>
  <c r="E5" i="3"/>
  <c r="E21" i="3"/>
  <c r="E55" i="3"/>
  <c r="E22" i="3"/>
  <c r="E57" i="3"/>
  <c r="J9" i="8" s="1"/>
  <c r="G59" i="3"/>
  <c r="G14" i="3"/>
  <c r="E20" i="3"/>
  <c r="D26" i="8" s="1"/>
  <c r="E25" i="3"/>
  <c r="G51" i="3"/>
  <c r="B7" i="4"/>
  <c r="D7" i="4" s="1"/>
  <c r="F7" i="4" s="1"/>
  <c r="J11" i="8"/>
  <c r="K59" i="3"/>
  <c r="K11" i="8" s="1"/>
  <c r="E42" i="3"/>
  <c r="B77" i="2"/>
  <c r="E27" i="3" s="1"/>
  <c r="E41" i="3"/>
  <c r="E17" i="3"/>
  <c r="C54" i="2"/>
  <c r="E39" i="3"/>
  <c r="E40" i="3"/>
  <c r="E38" i="3"/>
  <c r="K38" i="3" s="1"/>
  <c r="E19" i="3"/>
  <c r="E8" i="3"/>
  <c r="F17" i="3"/>
  <c r="F5" i="3"/>
  <c r="F55" i="3"/>
  <c r="F54" i="3"/>
  <c r="F22" i="3"/>
  <c r="F20" i="3"/>
  <c r="C77" i="2"/>
  <c r="F27" i="3" s="1"/>
  <c r="F57" i="3"/>
  <c r="F52" i="3"/>
  <c r="F48" i="3"/>
  <c r="F25" i="3"/>
  <c r="E33" i="3"/>
  <c r="E32" i="3"/>
  <c r="F18" i="3"/>
  <c r="E37" i="3"/>
  <c r="K37" i="3" s="1"/>
  <c r="G47" i="3"/>
  <c r="E8" i="5"/>
  <c r="K34" i="3"/>
  <c r="L20" i="8" s="1"/>
  <c r="J20" i="8"/>
  <c r="C6" i="5"/>
  <c r="E56" i="2"/>
  <c r="E59" i="2"/>
  <c r="D59" i="2"/>
  <c r="C9" i="5"/>
  <c r="D9" i="5" s="1"/>
  <c r="F47" i="3"/>
  <c r="K47" i="3" s="1"/>
  <c r="L27" i="8" s="1"/>
  <c r="F19" i="3"/>
  <c r="E9" i="5"/>
  <c r="E51" i="3"/>
  <c r="J7" i="3"/>
  <c r="D18" i="8"/>
  <c r="E6" i="6"/>
  <c r="F6" i="6" s="1"/>
  <c r="G6" i="6" s="1"/>
  <c r="E55" i="2"/>
  <c r="D55" i="2"/>
  <c r="E67" i="2"/>
  <c r="J13" i="3"/>
  <c r="D22" i="8"/>
  <c r="E5" i="5"/>
  <c r="B7" i="6"/>
  <c r="E5" i="6"/>
  <c r="F5" i="6" s="1"/>
  <c r="G5" i="6" s="1"/>
  <c r="E4" i="6"/>
  <c r="J6" i="3"/>
  <c r="F8" i="3"/>
  <c r="K11" i="3"/>
  <c r="F20" i="8" s="1"/>
  <c r="F14" i="3"/>
  <c r="G21" i="3"/>
  <c r="G25" i="3"/>
  <c r="F38" i="3"/>
  <c r="G39" i="3"/>
  <c r="F40" i="3"/>
  <c r="F56" i="3"/>
  <c r="G57" i="3"/>
  <c r="D17" i="8"/>
  <c r="G8" i="3"/>
  <c r="G54" i="3"/>
  <c r="F5" i="5" l="1"/>
  <c r="G5" i="5"/>
  <c r="D23" i="8"/>
  <c r="K17" i="3"/>
  <c r="F23" i="8" s="1"/>
  <c r="J17" i="3"/>
  <c r="K48" i="3"/>
  <c r="L28" i="8" s="1"/>
  <c r="J28" i="8"/>
  <c r="F4" i="6"/>
  <c r="G4" i="6" s="1"/>
  <c r="B9" i="6" s="1"/>
  <c r="E7" i="6"/>
  <c r="G8" i="5"/>
  <c r="F8" i="5"/>
  <c r="K32" i="3"/>
  <c r="L18" i="8" s="1"/>
  <c r="J18" i="8"/>
  <c r="J40" i="3"/>
  <c r="K40" i="3"/>
  <c r="L22" i="8" s="1"/>
  <c r="J22" i="8"/>
  <c r="K41" i="3"/>
  <c r="L23" i="8" s="1"/>
  <c r="J41" i="3"/>
  <c r="J23" i="8"/>
  <c r="J25" i="3"/>
  <c r="D27" i="8"/>
  <c r="K25" i="3"/>
  <c r="F27" i="8" s="1"/>
  <c r="J5" i="8"/>
  <c r="K51" i="3"/>
  <c r="D8" i="8"/>
  <c r="B5" i="4"/>
  <c r="D5" i="4" s="1"/>
  <c r="F5" i="4" s="1"/>
  <c r="D6" i="5"/>
  <c r="E6" i="5"/>
  <c r="K33" i="3"/>
  <c r="L19" i="8" s="1"/>
  <c r="J19" i="8"/>
  <c r="D19" i="8"/>
  <c r="J8" i="3"/>
  <c r="K8" i="3"/>
  <c r="F19" i="8" s="1"/>
  <c r="J39" i="3"/>
  <c r="D8" i="7" s="1"/>
  <c r="J21" i="8"/>
  <c r="K39" i="3"/>
  <c r="L21" i="8" s="1"/>
  <c r="D29" i="8"/>
  <c r="K27" i="3"/>
  <c r="F29" i="8" s="1"/>
  <c r="J27" i="3"/>
  <c r="K12" i="3"/>
  <c r="F21" i="8" s="1"/>
  <c r="D21" i="8"/>
  <c r="J12" i="3"/>
  <c r="D5" i="7" s="1"/>
  <c r="J21" i="3"/>
  <c r="K21" i="3"/>
  <c r="D16" i="8"/>
  <c r="K5" i="3"/>
  <c r="F16" i="8" s="1"/>
  <c r="D9" i="8"/>
  <c r="K52" i="3"/>
  <c r="E9" i="8" s="1"/>
  <c r="B6" i="4"/>
  <c r="D6" i="4" s="1"/>
  <c r="F6" i="4" s="1"/>
  <c r="F9" i="5"/>
  <c r="G9" i="5"/>
  <c r="J19" i="3"/>
  <c r="D25" i="8"/>
  <c r="K19" i="3"/>
  <c r="F25" i="8" s="1"/>
  <c r="D54" i="2"/>
  <c r="C4" i="5"/>
  <c r="E54" i="2"/>
  <c r="E60" i="2" s="1"/>
  <c r="K42" i="3"/>
  <c r="L24" i="8" s="1"/>
  <c r="J24" i="8"/>
  <c r="K55" i="3"/>
  <c r="E12" i="8" s="1"/>
  <c r="D12" i="8"/>
  <c r="K18" i="3"/>
  <c r="F24" i="8" s="1"/>
  <c r="D24" i="8"/>
  <c r="J18" i="3"/>
  <c r="D7" i="7" l="1"/>
  <c r="E8" i="8"/>
  <c r="D4" i="7"/>
  <c r="F10" i="4"/>
  <c r="B12" i="4" s="1"/>
  <c r="G6" i="5"/>
  <c r="F6" i="5"/>
  <c r="D9" i="6"/>
  <c r="E60" i="3"/>
  <c r="E53" i="3"/>
  <c r="E11" i="5"/>
  <c r="F11" i="5" s="1"/>
  <c r="D4" i="5"/>
  <c r="E4" i="5"/>
  <c r="D6" i="7"/>
  <c r="K53" i="3" l="1"/>
  <c r="D10" i="8"/>
  <c r="G4" i="5"/>
  <c r="F4" i="5"/>
  <c r="K60" i="3"/>
  <c r="K12" i="8" s="1"/>
  <c r="J12" i="8"/>
  <c r="E58" i="3"/>
  <c r="G5" i="8"/>
  <c r="D12" i="4"/>
  <c r="K58" i="3"/>
  <c r="K10" i="8" s="1"/>
  <c r="J10" i="8"/>
  <c r="D9" i="7"/>
  <c r="F9" i="7" s="1"/>
  <c r="E10" i="8" l="1"/>
  <c r="E62" i="3"/>
  <c r="F62" i="3" l="1"/>
  <c r="D5" i="8" s="1"/>
  <c r="B5" i="8"/>
</calcChain>
</file>

<file path=xl/sharedStrings.xml><?xml version="1.0" encoding="utf-8"?>
<sst xmlns="http://schemas.openxmlformats.org/spreadsheetml/2006/main" count="958" uniqueCount="592">
  <si>
    <t>PANDUAN PENGGUNAAN — INSTRUMEN KEUANGAN LAMEMBA (PREDIKAT BAIK)</t>
  </si>
  <si>
    <t xml:space="preserve">  KONTEKS DAN ASUMSI DATA — PREDIKAT BAIK</t>
  </si>
  <si>
    <t>Institusi</t>
  </si>
  <si>
    <t>PTS Swasta Menengah, Pulau Jawa/Sumatera — Tahun Akademik 2024/2025</t>
  </si>
  <si>
    <t>Jumlah Mahasiswa TS</t>
  </si>
  <si>
    <t>4.200 FTE (TS), 3.750 FTE (TS-1), 3.350 FTE (TS-2) — tren pertumbuhan ~12%/tahun</t>
  </si>
  <si>
    <t>SPP / UKT</t>
  </si>
  <si>
    <t>Rp 8.000.000/semester = Rp 16.000.000/tahun. SPP Gross = 4.200 × Rp 16 jt = Rp 67,2 Miliar</t>
  </si>
  <si>
    <t>Beasiswa / Discount Rate</t>
  </si>
  <si>
    <t>25% dari SPP Gross = Rp 16,8 Miliar. Net SPP = Rp 50,4 Miliar.</t>
  </si>
  <si>
    <t>Total Pendapatan TS</t>
  </si>
  <si>
    <t>Rp 88.800.000.000 (Rp 88,8 Miliar) — Rp 21,6 jt/mhs/thn (rasional PTS menengah 2024)</t>
  </si>
  <si>
    <t>Total Pengeluaran TS</t>
  </si>
  <si>
    <t>Rp 88.400.000.000 (Rp 88,4 Miliar) — Operating Margin 2,64% positif</t>
  </si>
  <si>
    <t>Jumlah Dosen Tetap</t>
  </si>
  <si>
    <t>230 dosen FTE — Rasio Dosen-Mahasiswa 18,3:1 (dalam range sehat 12-20:1)</t>
  </si>
  <si>
    <t xml:space="preserve">  PERBANDINGAN BAIK vs SANGAT BAIK</t>
  </si>
  <si>
    <t>Skala mahasiswa</t>
  </si>
  <si>
    <t>BAIK: 4.200 FTE vs SANGAT BAIK: 6.000 FTE (lebih kecil, masih tumbuh)</t>
  </si>
  <si>
    <t>SPP per semester</t>
  </si>
  <si>
    <t>BAIK: Rp 8 juta vs SANGAT BAIK: Rp 10 juta (lebih terjangkau)</t>
  </si>
  <si>
    <t>Total Pendapatan</t>
  </si>
  <si>
    <t>BAIK: Rp 90,8 M vs SANGAT BAIK: Rp 175 M (lebih kecil ~52%)</t>
  </si>
  <si>
    <t>Operating Margin</t>
  </si>
  <si>
    <t>BAIK: 2,64% vs SANGAT BAIK: 5,20% (lebih tipis tapi tetap positif)</t>
  </si>
  <si>
    <t>Endowment</t>
  </si>
  <si>
    <t>BAIK: Rp 42 M vs SANGAT BAIK: Rp 112 M (dana abadi lebih kecil)</t>
  </si>
  <si>
    <t>Utang relatif</t>
  </si>
  <si>
    <t>BAIK: utang/aset 16% vs SANGAT BAIK: 11,65% (lebih tinggi, sedang ekspansi)</t>
  </si>
  <si>
    <t>LAMEMBA terpenuhi</t>
  </si>
  <si>
    <t>BAIK: ~6/10 vs SANGAT BAIK: 8/10 (masih ada ruang perbaikan)</t>
  </si>
  <si>
    <t xml:space="preserve">  10 INDIKATOR LAMEMBA — STATUS PREDIKAT BAIK</t>
  </si>
  <si>
    <t>L1</t>
  </si>
  <si>
    <t>Rasio Kemandirian (RK) (≥ 30%)</t>
  </si>
  <si>
    <t>✓  91,19% — mandiri dari subsidi pemerintah ✓</t>
  </si>
  <si>
    <t>L2</t>
  </si>
  <si>
    <t>Rasio Efisiensi Operasional (REO) (≥ 65%)</t>
  </si>
  <si>
    <t>✗  57,69% — belum terpenuhi (struktural)</t>
  </si>
  <si>
    <t>L3</t>
  </si>
  <si>
    <t>Varians Anggaran (VA) (≤ ±10%)</t>
  </si>
  <si>
    <t>✓  5,4% rata-rata absolut ✓</t>
  </si>
  <si>
    <t>L4</t>
  </si>
  <si>
    <t>Rasio Investasi SDM (RISDM) (≥ 15%)</t>
  </si>
  <si>
    <t>✗  14,71% — mendekati, perlu sedikit peningkatan</t>
  </si>
  <si>
    <t>L5</t>
  </si>
  <si>
    <t>Rasio Investasi Sarpras (RISP) (≥ 20%)</t>
  </si>
  <si>
    <t>✗  14,71% — perlu peningkatan investasi infrastruktur</t>
  </si>
  <si>
    <t>L6</t>
  </si>
  <si>
    <t>Pertumbuhan Pendapatan (GRR) (≥ 5%)</t>
  </si>
  <si>
    <t>✓  14,65% — pertumbuhan solid ✓</t>
  </si>
  <si>
    <t>L7</t>
  </si>
  <si>
    <t>Biaya per Mahasiswa (RBM) (Sesuai SPMI)</t>
  </si>
  <si>
    <t>—  Rp 21,05 jt/mhs/thn — referensi SPMI</t>
  </si>
  <si>
    <t>L8</t>
  </si>
  <si>
    <t>Indeks Keberlanjutan (IKK) (≥ 2.5 (0–4))</t>
  </si>
  <si>
    <t>✓  ≈ 2.8 — memenuhi ambang LAMEMBA ✓</t>
  </si>
  <si>
    <t>L9</t>
  </si>
  <si>
    <t>Rasio Likuiditas (RL) (≥ 100% (≥1.0×))</t>
  </si>
  <si>
    <t>✓  2.39× — sangat likuid ✓</t>
  </si>
  <si>
    <t>L10</t>
  </si>
  <si>
    <t>Alokasi Tridharma (ATT) (Proporsional)</t>
  </si>
  <si>
    <t>✓  Pend55%/Rist30%/PkM15% — deviasi &lt; 10% ✓</t>
  </si>
  <si>
    <t xml:space="preserve">  KODE WARNA</t>
  </si>
  <si>
    <t>Teks BIRU</t>
  </si>
  <si>
    <t>Input — ubah sesuai data institusi Anda.</t>
  </si>
  <si>
    <t>Teks HIJAU</t>
  </si>
  <si>
    <t>Formula cross-sheet — mengacu ke sheet lain.</t>
  </si>
  <si>
    <t>Latar BIRU MUDA</t>
  </si>
  <si>
    <t>Formula otomatis — JANGAN diedit manual.</t>
  </si>
  <si>
    <t>Latar HIJAU MUDA</t>
  </si>
  <si>
    <t>Indikator ★ LAMEMBA atau status TERPENUHI.</t>
  </si>
  <si>
    <t>Latar KUNING</t>
  </si>
  <si>
    <t>Target/ambang batas atau status PERHATIAN.</t>
  </si>
  <si>
    <t>INSTRUMEN KEUANGAN LAMEMBA — DATA INPUT (PREDIKAT BAIK)</t>
  </si>
  <si>
    <t>Isi HANYA sel berwarna BIRU. Formula latar biru-muda otomatis. Ubah data di sini → semua sheet update.</t>
  </si>
  <si>
    <t>A. DATA PENDAPATAN (Rupiah)</t>
  </si>
  <si>
    <t>Komponen Pendapatan</t>
  </si>
  <si>
    <t>TS (Tahun Ini)</t>
  </si>
  <si>
    <t>TS-1 (Tahun Lalu)</t>
  </si>
  <si>
    <t>TS-2 (2 Thn Lalu)</t>
  </si>
  <si>
    <t>Keterangan</t>
  </si>
  <si>
    <t>Pendapatan SPP / Biaya Kuliah Gross (UKT)</t>
  </si>
  <si>
    <t>4.200 mhs × Rp 16 jt/thn = Rp 67,2 M TS. (Rp 8 jt/semester × 2 sem).</t>
  </si>
  <si>
    <t>Beasiswa &amp; Financial Aid (pengurang, nilai NEGATIF)</t>
  </si>
  <si>
    <t>25% discount rate. TS: -16,8M. Net SPP = 67,2-16,8 = 50,4M. Range sehat: 20-35%.</t>
  </si>
  <si>
    <t>Pendapatan Pemerintah (BOPTN, hibah institusi)</t>
  </si>
  <si>
    <t>BOPTN + hibah pemerintah pusat/daerah. Lebih tinggi dari SB per-mhs (lebih bergantung subsidi).</t>
  </si>
  <si>
    <t>Pendapatan Penelitian &amp; Hibah Kompetitif</t>
  </si>
  <si>
    <t>Hibah DIKTI, LPDP, industri. Lebih kecil dari SB — kapasitas riset sedang berkembang.</t>
  </si>
  <si>
    <t>Pendapatan Donasi &amp; Sumbangan (Gifts)</t>
  </si>
  <si>
    <t>Alumni dan CSR. Lebih kecil dari SB — jaringan alumni sedang diperkuat.</t>
  </si>
  <si>
    <t>Pendapatan Auxiliary (usaha penunjang)</t>
  </si>
  <si>
    <t>Kantin, parkir, klinik, laboratorium terbuka. Potensi besar untuk dikembangkan.</t>
  </si>
  <si>
    <t>Pendapatan Investasi Endowment (operasional)</t>
  </si>
  <si>
    <t>Return dana abadi yang dialokasikan operasional. SB: 8M vs BAIK: 3,2M (dana abadi lebih kecil).</t>
  </si>
  <si>
    <t>Pendapatan Lain-lain</t>
  </si>
  <si>
    <t>Sertifikasi, kerjasama pelatihan, event, dll.</t>
  </si>
  <si>
    <t xml:space="preserve">  → Net Tuition Revenue (SPP − Beasiswa)</t>
  </si>
  <si>
    <t>Formula otomatis</t>
  </si>
  <si>
    <t xml:space="preserve">  → Pendapatan Non-Pemerintah (Non-Subsidi)</t>
  </si>
  <si>
    <t>TOTAL PENDAPATAN</t>
  </si>
  <si>
    <t>B. DATA PENGELUARAN (Rupiah)</t>
  </si>
  <si>
    <t>Komponen Pengeluaran</t>
  </si>
  <si>
    <t>Biaya Operasional Langsung (Pendidikan, Penelitian, PkM)</t>
  </si>
  <si>
    <t>Tridharma: pengajaran, lab, penelitian, PkM. REO=57,69% — mendekati target 65%.</t>
  </si>
  <si>
    <t>Biaya Administrasi &amp; Institutional Support</t>
  </si>
  <si>
    <t>Overhead: IT, tata usaha, keamanan. Admin ratio 7,1% — efisien.</t>
  </si>
  <si>
    <t>Biaya Instruksi / Pengajaran (INFO — subset dari B20)</t>
  </si>
  <si>
    <t>INFO SAJA — sudah termasuk dalam B20 (Ops Langsung). TIDAK dihitung di Total.</t>
  </si>
  <si>
    <t>Anggaran Pengembangan SDM (pelatihan, riset, hibah)</t>
  </si>
  <si>
    <t>RISDM = 13/88,4 = 14,71% — sedikit di bawah 15%, perlu ditingkatkan tahun berikutnya.</t>
  </si>
  <si>
    <t>Belanja Aset Tetap / CapEx (gedung, lab, IT)</t>
  </si>
  <si>
    <t>CapEx lebih kecil dari SB. RISP (Aset+Pem)/Total = 14,7% — belum ≥20%.</t>
  </si>
  <si>
    <t>Biaya Pemeliharaan Sarana Prasarana</t>
  </si>
  <si>
    <t>Perawatan rutin. Perlu ditingkatkan untuk memenuhi RISP ≥20%.</t>
  </si>
  <si>
    <t>Gaji &amp; Tunjangan Dosen Tetap (tunjangan akademik)</t>
  </si>
  <si>
    <t>Tunjangan jabatan dosen tetap. Gaji pokok sebagian besar sudah di B20 (Ops Langsung).</t>
  </si>
  <si>
    <t>Depresiasi / Penyusutan Aset</t>
  </si>
  <si>
    <t>Non-kas. Lebih kecil dari SB karena aset tetap lebih kecil.</t>
  </si>
  <si>
    <t>Beban Bunga (Interest Expense)</t>
  </si>
  <si>
    <t>Bunga lebih tinggi relatif terhadap SB — utang masih dalam proses pelunasan.</t>
  </si>
  <si>
    <t>Biaya Lain-lain Operasional</t>
  </si>
  <si>
    <t>TOTAL PENGELUARAN</t>
  </si>
  <si>
    <t>C. DATA NERACA KEUANGAN (Rupiah)</t>
  </si>
  <si>
    <t>Komponen Neraca</t>
  </si>
  <si>
    <t>Kas &amp; Setara Kas</t>
  </si>
  <si>
    <t>Giro, deposito &lt; 3 bulan. TS: Rp 20 M — Days Cash = 140 hari ✓</t>
  </si>
  <si>
    <t>Investasi Jangka Pendek (&lt; 1 tahun)</t>
  </si>
  <si>
    <t>Deposito, reksadana pasar uang. TS: Rp 14 M.</t>
  </si>
  <si>
    <t>Piutang Bersih</t>
  </si>
  <si>
    <t>Piutang mahasiswa + piutang lain. Lebih tinggi % dari SB — perlu penguatan koleksi.</t>
  </si>
  <si>
    <t>Aset Lancar Lainnya</t>
  </si>
  <si>
    <t>Total Aset Tetap (Neto setelah depresiasi)</t>
  </si>
  <si>
    <t>Tanah + bangunan + lab + peralatan — akumulasi depresiasi. TS: Rp 102 M.</t>
  </si>
  <si>
    <t>Endowment / Dana Abadi (nilai pasar)</t>
  </si>
  <si>
    <t>Dana abadi. TS: Rp 42 M (vs SB Rp 112 M). Endow/Debt = 1,40× ✓  Spending Rate = 5,81% ✓</t>
  </si>
  <si>
    <t>Total Aset</t>
  </si>
  <si>
    <t>Total Aset Lancar + Aset Tetap + Endowment</t>
  </si>
  <si>
    <t>Kewajiban Jangka Pendek</t>
  </si>
  <si>
    <t>Utang lancar &lt; 12 bulan. RL = Aset Lancar / KJP = 2.39× ✓</t>
  </si>
  <si>
    <t>Kewajiban Jangka Panjang / Total Utang</t>
  </si>
  <si>
    <t>Pinjaman bank jangka panjang. TS: Rp 30 M. Debt/Assets = 16% ✓ (sedang ekspansi).</t>
  </si>
  <si>
    <t>Expendable Net Assets</t>
  </si>
  <si>
    <t>Aset bersih yang dapat digunakan. Primary Reserve = 45/88,4 = 0,51 ✓ (target ≥0,40)</t>
  </si>
  <si>
    <t>Change in Net Assets (Perubahan Aset Bersih)</t>
  </si>
  <si>
    <t>Surplus bersih. TS: Rp 6,2 M. Return on NA = 7,95% ✓ (target &gt; 2%)</t>
  </si>
  <si>
    <t>Beginning Net Assets (Aset Bersih Awal Periode)</t>
  </si>
  <si>
    <t>Annual Debt Service (Pokok + Bunga Tahunan)</t>
  </si>
  <si>
    <t>Cicilan pokok + bunga tahunan. DSCR = EBITDA / Debt Service = 2.11× ✓ (target ≥2×)</t>
  </si>
  <si>
    <t>Sources of Liquidity</t>
  </si>
  <si>
    <t>Uses of Liquidity</t>
  </si>
  <si>
    <t xml:space="preserve">  → Total Aset Lancar</t>
  </si>
  <si>
    <t xml:space="preserve">  → Rata-rata Nilai Endowment 3 Tahun</t>
  </si>
  <si>
    <t>-</t>
  </si>
  <si>
    <t>Rata-rata 3 tahun untuk Endowment Spending Rate</t>
  </si>
  <si>
    <t>D. DATA ANGGARAN vs REALISASI — Varians Anggaran (VA)</t>
  </si>
  <si>
    <t>Pos Anggaran</t>
  </si>
  <si>
    <t>Rencana / RKAT (Rp)</t>
  </si>
  <si>
    <t>Realisasi Aktual (Rp)</t>
  </si>
  <si>
    <t>Varians (Rp)</t>
  </si>
  <si>
    <t>Varians (%)</t>
  </si>
  <si>
    <t>Biaya Operasional Langsung</t>
  </si>
  <si>
    <t>Pengembangan SDM</t>
  </si>
  <si>
    <t>Investasi Sarpras (Aset Tetap+Pemeliharaan)</t>
  </si>
  <si>
    <t>Biaya Administrasi</t>
  </si>
  <si>
    <t>Total Pengeluaran</t>
  </si>
  <si>
    <t>Rata-rata Varians Absolut (LAMEMBA ≤ ±10%)</t>
  </si>
  <si>
    <t>E. ALOKASI ANGGARAN TRIDHARMA — ATT</t>
  </si>
  <si>
    <t>Fungsi Tridharma</t>
  </si>
  <si>
    <t>Alokasi (Rp) TS</t>
  </si>
  <si>
    <t>Bobot LAMEMBA</t>
  </si>
  <si>
    <t>Kontribusi Terbobot</t>
  </si>
  <si>
    <t>Proporsi Aktual (%)</t>
  </si>
  <si>
    <t>Pendidikan</t>
  </si>
  <si>
    <t>Penelitian</t>
  </si>
  <si>
    <t>Pengabdian Masyarakat (PkM)</t>
  </si>
  <si>
    <t>TOTAL TRIDHARMA</t>
  </si>
  <si>
    <t>F. DATA MAHASISWA, DOSEN &amp; ENDOWMENT</t>
  </si>
  <si>
    <t>Komponen</t>
  </si>
  <si>
    <t>Nilai TS</t>
  </si>
  <si>
    <t>Nilai TS-1</t>
  </si>
  <si>
    <t>Nilai TS-2</t>
  </si>
  <si>
    <t>Jumlah Mahasiswa Aktif (FTE)</t>
  </si>
  <si>
    <t>TS:4.200 FTE. Validasi PDDikti/EMIS. SFR = 4200/230 = 18,3:1 ✓</t>
  </si>
  <si>
    <t>Jumlah Dosen Tetap (FTE)</t>
  </si>
  <si>
    <t>230 dosen FTE. Rasio 18,3:1 — dalam range ideal 12-20:1 ✓</t>
  </si>
  <si>
    <t>Total Financial Aid / Beasiswa</t>
  </si>
  <si>
    <t xml:space="preserve"> =ABS(B7). discount rate = 16,8m/67,2m = 25% ✓</t>
  </si>
  <si>
    <t>Annual Endowment Distribution (Payout)</t>
  </si>
  <si>
    <t>Spending Rate = 2,1M/36M = 5,83% ✓ (target 4-6%)</t>
  </si>
  <si>
    <t>Annual Investment Return (Endowment)</t>
  </si>
  <si>
    <t>Return investasi endowment ~10%/thn. SB: 11,2M vs BAIK: 4,2M.</t>
  </si>
  <si>
    <t>Operating Investment Income</t>
  </si>
  <si>
    <t>Bagian return endowment dialokasikan ke operasional. = B12.</t>
  </si>
  <si>
    <t>EBITDA</t>
  </si>
  <si>
    <t>Total Pdpt - Total Pglr + Depresiasi + Bunga. BAIK: Rp 5,9M. ICR=3.93× ✓ DSCR=2.11× ✓</t>
  </si>
  <si>
    <t>Interest Expense</t>
  </si>
  <si>
    <t xml:space="preserve"> =b28. interest coverage = ebitda / interest expense. ts: 3.93× ✓</t>
  </si>
  <si>
    <t>KETERANGAN: Teks BIRU = input (ubah di sini) | Latar biru muda = formula otomatis | Semua rasio → sheet HASIL RASIO &amp; DASHBOARD</t>
  </si>
  <si>
    <t>HASIL PERHITUNGAN — SEMUA RASIO KESEHATAN KEUANGAN UNIVERSITAS (PREDIKAT BAIK)</t>
  </si>
  <si>
    <t>★ = Indikator wajib LAMEMBA | Hijau = Terpenuhi ✓ | Merah = Belum ✗ | Kuning = Perhatian | Teks hijau = formula dari INPUT DATA</t>
  </si>
  <si>
    <t>TABEL 1: COMPOSITE FINANCIAL INDEX (CFI) — Rasio Utama</t>
  </si>
  <si>
    <t>No</t>
  </si>
  <si>
    <t>Nama Rasio / Indikator</t>
  </si>
  <si>
    <t>Formula</t>
  </si>
  <si>
    <t>Komponen Input</t>
  </si>
  <si>
    <t>Target Sehat</t>
  </si>
  <si>
    <t>Target Min/Max</t>
  </si>
  <si>
    <t>Score (0-100)</t>
  </si>
  <si>
    <t>Status TS</t>
  </si>
  <si>
    <t>1</t>
  </si>
  <si>
    <t>Primary Reserve Ratio</t>
  </si>
  <si>
    <t>Expendable Net Assets ÷ Total Operating Expenses</t>
  </si>
  <si>
    <t>Expendable NA / Total Pengeluaran</t>
  </si>
  <si>
    <t>0.17–0.40</t>
  </si>
  <si>
    <t>BAIK: 0.51 — memenuhi ambang ≥0.40 ✓. Lebih rendah dari SB (0.63) karena skala lebih kecil.</t>
  </si>
  <si>
    <t>2</t>
  </si>
  <si>
    <t>Viability Ratio</t>
  </si>
  <si>
    <t>Expendable Net Assets ÷ Total Debt</t>
  </si>
  <si>
    <t>Expendable NA / Total Utang</t>
  </si>
  <si>
    <t>0.20–0.35</t>
  </si>
  <si>
    <t>BAIK: 1.50× — sehat ✓. Lebih rendah dari SB (2.17×) karena utang lebih besar relatif.</t>
  </si>
  <si>
    <t>3</t>
  </si>
  <si>
    <t>Return on Net Assets</t>
  </si>
  <si>
    <t>Change in Net Assets ÷ Beginning Net Assets</t>
  </si>
  <si>
    <t>Perubahan Aset Bersih / Aset Bersih Awal</t>
  </si>
  <si>
    <t>0%–2%</t>
  </si>
  <si>
    <t>BAIK: 7.95% — pertumbuhan net assets kuat ✓.</t>
  </si>
  <si>
    <t>4</t>
  </si>
  <si>
    <t>Net Operating Revenue Ratio</t>
  </si>
  <si>
    <t>(Op. Revenue − Op. Expenses) ÷ Op. Revenue</t>
  </si>
  <si>
    <t>(Total Pdpt − Total Pglr) / Total Pdpt</t>
  </si>
  <si>
    <t>BAIK: 2.64% — positif ✓, tapi lebih tipis dari SB (5.20%). Perlu diversifikasi pendapatan.</t>
  </si>
  <si>
    <t>TABEL 2: RASIO LIKUIDITAS</t>
  </si>
  <si>
    <t>5</t>
  </si>
  <si>
    <t>Liquidity Ratio</t>
  </si>
  <si>
    <t>Sources of Liquidity ÷ Uses of Liquidity</t>
  </si>
  <si>
    <t>Sumber Likuid / Penggunaan Likuid</t>
  </si>
  <si>
    <t>BAIK: 2.64× — memenuhi ✓.</t>
  </si>
  <si>
    <t>6</t>
  </si>
  <si>
    <t>Days Cash on Hand</t>
  </si>
  <si>
    <t>(Kas + Investasi JP) ÷ (Total Pengeluaran / 365)</t>
  </si>
  <si>
    <t>(Kas+Inv.JP) / (Total Pglr / 365)</t>
  </si>
  <si>
    <t>60</t>
  </si>
  <si>
    <t>BAIK: ~140 hari — memenuhi ≥120 hari ✓. Lebih rendah dari SB (154 hari).</t>
  </si>
  <si>
    <t>7</t>
  </si>
  <si>
    <t>Cash to Debt Ratio</t>
  </si>
  <si>
    <t>Kas &amp; Setara Kas ÷ Total Debt</t>
  </si>
  <si>
    <t>Kas / Total Utang</t>
  </si>
  <si>
    <t>0.15</t>
  </si>
  <si>
    <t>BAIK: 0.67× — memenuhi ≥0.25 ✓.</t>
  </si>
  <si>
    <t>★ ★ Rasio Likuiditas (RL) — LAMEMBA</t>
  </si>
  <si>
    <t>Aset Lancar ÷ Kewajiban Jangka Pendek</t>
  </si>
  <si>
    <t>Aset Lancar / Kwj. Jangka Pendek</t>
  </si>
  <si>
    <t>≥ 100%</t>
  </si>
  <si>
    <t>LAMEMBA No.9. BAIK: 2.39× — terpenuhi ✓.</t>
  </si>
  <si>
    <t>TABEL 3: RASIO EFISIENSI OPERASIONAL</t>
  </si>
  <si>
    <t>8</t>
  </si>
  <si>
    <t>1%–3%</t>
  </si>
  <si>
    <t>BAIK: 2.64% — positif dan sehat, sedikit di bawah target ≥4%.</t>
  </si>
  <si>
    <t>9</t>
  </si>
  <si>
    <t>Administrative Expense Ratio</t>
  </si>
  <si>
    <t>Biaya Administrasi ÷ Total Op. Expenses</t>
  </si>
  <si>
    <t>Adm &amp; Overhead / Total Pengeluaran</t>
  </si>
  <si>
    <t>0.12</t>
  </si>
  <si>
    <t>BAIK: 7.13% — efisien, jauh di bawah ambang 15% ✓.</t>
  </si>
  <si>
    <t>10</t>
  </si>
  <si>
    <t>Tuition Dependency Ratio</t>
  </si>
  <si>
    <t>Net Tuition Revenue ÷ Total Op. Revenue</t>
  </si>
  <si>
    <t>Net Tuition / Total Pendapatan</t>
  </si>
  <si>
    <t>0.7</t>
  </si>
  <si>
    <t>BAIK: 55.5% — risiko sedang. Lebih tinggi dari SB (51.4%). Perlu diversifikasi pendapatan.</t>
  </si>
  <si>
    <t>11</t>
  </si>
  <si>
    <t>Cost per Student</t>
  </si>
  <si>
    <t>Total Operating Expenses ÷ Total FTE Students</t>
  </si>
  <si>
    <t>Total Pengeluaran / Mahasiswa FTE</t>
  </si>
  <si>
    <t>Benchmark industri</t>
  </si>
  <si>
    <t>Benchmark SPMI</t>
  </si>
  <si>
    <t>"Lihat benchmark SPMI"</t>
  </si>
  <si>
    <t>BAIK: Rp 21,05 jt/mhs/thn — lebih rendah dari SB (Rp 27,65 jt). Rasional untuk skala lebih kecil.</t>
  </si>
  <si>
    <t>★ ★ Rasio Efisiensi Operasional (REO) — LAMEMBA</t>
  </si>
  <si>
    <t>Biaya Operasional Langsung ÷ Total Pengeluaran × 100</t>
  </si>
  <si>
    <t>Biaya Langsung / Total Pengeluaran</t>
  </si>
  <si>
    <t>≥ 65%</t>
  </si>
  <si>
    <t>LAMEMBA No.2. BAIK: 57.69% — belum terpenuhi (struktural: gaji dosen terpisah dari ops langsung).</t>
  </si>
  <si>
    <t>★ ★ Rasio Biaya per Mahasiswa (RBM) — LAMEMBA</t>
  </si>
  <si>
    <t>Total Biaya Operasional ÷ Jumlah Mahasiswa Aktif</t>
  </si>
  <si>
    <t>Sesuai SPMI</t>
  </si>
  <si>
    <t>"Lihat standar SPMI institusi"</t>
  </si>
  <si>
    <t>LAMEMBA No.7. BAIK: Rp 21,05 jt/mhs/thn — validasi dengan SPMI setempat.</t>
  </si>
  <si>
    <t>TABEL 4: RASIO UTANG DAN LEVERAGE</t>
  </si>
  <si>
    <t>12</t>
  </si>
  <si>
    <t>Debt Service Coverage Ratio</t>
  </si>
  <si>
    <t>(Op. Income + Depreciation + Interest) ÷ Annual Debt Service</t>
  </si>
  <si>
    <t>(Net Inc+Depr+Int) / Debt Service</t>
  </si>
  <si>
    <t>1.25</t>
  </si>
  <si>
    <t>BAIK: 2.11× — memenuhi ≥2.0× ✓.</t>
  </si>
  <si>
    <t>13</t>
  </si>
  <si>
    <t>Debt-to-Assets Ratio</t>
  </si>
  <si>
    <t>Total Debt ÷ Total Assets</t>
  </si>
  <si>
    <t>Total Utang / Total Aset</t>
  </si>
  <si>
    <t>0.35</t>
  </si>
  <si>
    <t>BAIK: ~16% — perhatian (antara 15-25%). Dalam ekspansi aktif, masih aman ✓.</t>
  </si>
  <si>
    <t>14</t>
  </si>
  <si>
    <t>Interest Coverage Ratio</t>
  </si>
  <si>
    <t>EBITDA ÷ Interest Expense</t>
  </si>
  <si>
    <t>EBITDA / Beban Bunga</t>
  </si>
  <si>
    <t>BAIK: 3.93× — memenuhi ≥3.0× ✓.</t>
  </si>
  <si>
    <t>15</t>
  </si>
  <si>
    <t>Debt per Student</t>
  </si>
  <si>
    <t>Total Debt ÷ Total FTE Students</t>
  </si>
  <si>
    <t>Total Utang / Mahasiswa FTE</t>
  </si>
  <si>
    <t>"Lihat benchmark industri"</t>
  </si>
  <si>
    <t>BAIK: Rp 7,14 jt/mhs — relatif rendah ✓.</t>
  </si>
  <si>
    <t>TABEL 5: RASIO ENDOWMENT DAN INVESTASI</t>
  </si>
  <si>
    <t>16</t>
  </si>
  <si>
    <t>Endowment per Student</t>
  </si>
  <si>
    <t>Total Endowment ÷ Total Enrolled Students</t>
  </si>
  <si>
    <t>Nilai Endowment / Mahasiswa</t>
  </si>
  <si>
    <t>Bervariasi</t>
  </si>
  <si>
    <t>"Lihat benchmark kategori"</t>
  </si>
  <si>
    <t>BAIK: Rp 10 jt/mhs (vs SB Rp 18,67 jt). Dana abadi lebih kecil, perlu dikembangkan.</t>
  </si>
  <si>
    <t>17</t>
  </si>
  <si>
    <t>Endowment Spending Rate</t>
  </si>
  <si>
    <t>Annual Endowment Distribution ÷ Average Market Value (3yr)</t>
  </si>
  <si>
    <t>Payout / Rata-rata Endowment</t>
  </si>
  <si>
    <t>—</t>
  </si>
  <si>
    <t>4%–8%</t>
  </si>
  <si>
    <t>4%–6%</t>
  </si>
  <si>
    <t>BAIK: 5.83% — dalam range sehat 4-6% ✓.</t>
  </si>
  <si>
    <t>18</t>
  </si>
  <si>
    <t>Investment Return</t>
  </si>
  <si>
    <t>Annual Investment Return ÷ Average Endowment</t>
  </si>
  <si>
    <t>Return Investasi / Rata-rata Endowment</t>
  </si>
  <si>
    <t>&gt; 8%+Inflasi</t>
  </si>
  <si>
    <t>Positif</t>
  </si>
  <si>
    <t>BAIK: ~11.7% — melebihi spending rate + inflasi ✓.</t>
  </si>
  <si>
    <t>19</t>
  </si>
  <si>
    <t>Endowment to Debt</t>
  </si>
  <si>
    <t>Total Endowment ÷ Total Debt</t>
  </si>
  <si>
    <t>Nilai Endowment / Total Utang</t>
  </si>
  <si>
    <t>&gt; 2.0×</t>
  </si>
  <si>
    <t>&gt; 1.0×</t>
  </si>
  <si>
    <t>BAIK: 1.40× — perhatian (antara 1-2×). Endowment perlu terus ditumbuhkan.</t>
  </si>
  <si>
    <t>TABEL 6: RASIO PENDAPATAN DAN DIVERSIFIKASI</t>
  </si>
  <si>
    <t>★ ★ Rasio Kemandirian Keuangan (RK) — LAMEMBA</t>
  </si>
  <si>
    <t>Pendapatan Non-Pemerintah ÷ Total Pendapatan</t>
  </si>
  <si>
    <t>Non-Pemerintah / Total Pendapatan</t>
  </si>
  <si>
    <t>≥ 30%</t>
  </si>
  <si>
    <t>LAMEMBA No.1. BAIK: 91.19% — terpenuhi ✓.</t>
  </si>
  <si>
    <t>★ ★ Pertumbuhan Pendapatan Tahunan (GRR) — LAMEMBA</t>
  </si>
  <si>
    <t>((Pendapatan TS − TS-1) ÷ TS-1) × 100</t>
  </si>
  <si>
    <t>(Pdpt TS - TS-1) / TS-1</t>
  </si>
  <si>
    <t>≥ 5%</t>
  </si>
  <si>
    <t>LAMEMBA No.6. BAIK: 14.65% — terpenuhi ✓. Pertumbuhan solid.</t>
  </si>
  <si>
    <t>20</t>
  </si>
  <si>
    <t>Revenue Concentration</t>
  </si>
  <si>
    <t>Sumber Terbesar ÷ Total Revenue</t>
  </si>
  <si>
    <t>MAX sumber / Total Pendapatan</t>
  </si>
  <si>
    <t>BAIK: SPP Gross 74% dari total — konsentrasi tinggi. Perlu kurangi ketergantungan SPP.</t>
  </si>
  <si>
    <t>21</t>
  </si>
  <si>
    <t>Gift Revenue Ratio</t>
  </si>
  <si>
    <t>Total Gifts &amp; Donations ÷ Total Revenue</t>
  </si>
  <si>
    <t>Donasi / Total Pendapatan</t>
  </si>
  <si>
    <t>0.01</t>
  </si>
  <si>
    <t>BAIK: 6.4% — perhatian. Fundraising alumni perlu ditingkatkan.</t>
  </si>
  <si>
    <t>22</t>
  </si>
  <si>
    <t>Research Revenue Ratio</t>
  </si>
  <si>
    <t>Research Grants ÷ Total Revenue</t>
  </si>
  <si>
    <t>Pdpt Penelitian / Total Pdpt</t>
  </si>
  <si>
    <t>0.05</t>
  </si>
  <si>
    <t>BAIK: 13.2% — sehat ✓, riset aktif. Kapasitas lebih kecil dari SB (18.3%).</t>
  </si>
  <si>
    <t>23</t>
  </si>
  <si>
    <t>Auxiliary Revenue Ratio</t>
  </si>
  <si>
    <t>Auxiliary Revenue ÷ Total Revenue</t>
  </si>
  <si>
    <t>Pdpt Auxiliary / Total Pdpt</t>
  </si>
  <si>
    <t>15%–25%</t>
  </si>
  <si>
    <t>10%–30%</t>
  </si>
  <si>
    <t>BAIK: 9.9% — sedikit di bawah 10%. Perlu kembangkan unit usaha penunjang.</t>
  </si>
  <si>
    <t>TABEL 7: RASIO AKADEMIK-FINANSIAL</t>
  </si>
  <si>
    <t>24</t>
  </si>
  <si>
    <t>Student-to-Faculty Ratio</t>
  </si>
  <si>
    <t>Total FTE Students ÷ Total FTE Faculty</t>
  </si>
  <si>
    <t>Mahasiswa FTE / Dosen FTE</t>
  </si>
  <si>
    <t>12:1–20:1</t>
  </si>
  <si>
    <t>&lt; 30:1</t>
  </si>
  <si>
    <t>BAIK: 18.3:1 — dalam range ideal ✓.</t>
  </si>
  <si>
    <t>25</t>
  </si>
  <si>
    <t>Discount Rate</t>
  </si>
  <si>
    <t>Total Financial Aid ÷ Gross Tuition Revenue</t>
  </si>
  <si>
    <t>Financial Aid / Gross Tuition</t>
  </si>
  <si>
    <t>30%–50%</t>
  </si>
  <si>
    <t>20%–60%</t>
  </si>
  <si>
    <t>BAIK: 25% — sedikit di bawah target 30-50%. Aksesibilitas mahasiswa masih terbatas.</t>
  </si>
  <si>
    <t>26</t>
  </si>
  <si>
    <t>Net Tuition per Student</t>
  </si>
  <si>
    <t>Net Tuition Revenue ÷ Total Students</t>
  </si>
  <si>
    <t>Net Tuition / Mahasiswa FTE</t>
  </si>
  <si>
    <t>Tren naik</t>
  </si>
  <si>
    <t>Stabil/naik</t>
  </si>
  <si>
    <t>BAIK: Rp 12 jt/mhs/thn — tren naik ✓ (lebih rendah dari SB Rp 15 jt karena SPP lebih kecil).</t>
  </si>
  <si>
    <t>27</t>
  </si>
  <si>
    <t>Faculty Cost Ratio</t>
  </si>
  <si>
    <t>Faculty Salaries &amp; Benefits ÷ Total Op. Expenses</t>
  </si>
  <si>
    <t>Gaji Dosen / Total Pengeluaran</t>
  </si>
  <si>
    <t>45%–55%</t>
  </si>
  <si>
    <t>40%–60%</t>
  </si>
  <si>
    <t>BAIK: 47.4% — dalam range ideal ✓.</t>
  </si>
  <si>
    <t>TABEL 8: 10 INDIKATOR WAJIB LAMEMBA KRITERIA 3 ★ (Rekap Lengkap)</t>
  </si>
  <si>
    <t>★ ★ Rasio Kemandirian Keuangan (RK)</t>
  </si>
  <si>
    <t>Lihat formula di kolom Komponen Input</t>
  </si>
  <si>
    <t>Non-Pemerintah/Total Pdpt. BAIK: 91.19% ✓</t>
  </si>
  <si>
    <t>★ ★ Rasio Efisiensi Operasional (REO)</t>
  </si>
  <si>
    <t>Biaya Langsung/Total Pglr. BAIK: 57.69% — belum ≥65%.</t>
  </si>
  <si>
    <t>★ ★ Varians Anggaran (VA)</t>
  </si>
  <si>
    <t>Rata-rata deviasi RKAT. BAIK: ~5.4% ✓</t>
  </si>
  <si>
    <t>≤ ±10%</t>
  </si>
  <si>
    <t>★ ★ Rasio Investasi SDM (RISDM)</t>
  </si>
  <si>
    <t>Angg.SDM/Total Pglr. BAIK: 14.71% — sedikit di bawah 15%.</t>
  </si>
  <si>
    <t>≥ 15%</t>
  </si>
  <si>
    <t>★ ★ Rasio Investasi Sarpras (RISP)</t>
  </si>
  <si>
    <t>(Aset+Pem)/Total Pglr. BAIK: 14.71% — perlu peningkatan investasi sarpras.</t>
  </si>
  <si>
    <t>≥ 20%</t>
  </si>
  <si>
    <t>★ ★ Pertumbuhan Pendapatan Tahunan (GRR)</t>
  </si>
  <si>
    <t>(Pdpt TS-TS1)/TS1. BAIK: 14.65% ✓ — pertumbuhan solid.</t>
  </si>
  <si>
    <t>★ ★ Rasio Biaya per Mahasiswa (RBM)</t>
  </si>
  <si>
    <t>Total Pglr/Mhs. BAIK: Rp 21,05 jt/mhs/thn — validasi SPMI.</t>
  </si>
  <si>
    <t>"Lihat SPMI institusi"</t>
  </si>
  <si>
    <t>★ ★ Indeks Keberlanjutan Keuangan (IKK)</t>
  </si>
  <si>
    <t>Gabungan 4 komponen 0-4. BAIK: ≈2.8 — memenuhi ≥2.5 ✓</t>
  </si>
  <si>
    <t>≥ 2.5</t>
  </si>
  <si>
    <t>★ ★ Rasio Likuiditas Keuangan (RL)</t>
  </si>
  <si>
    <t>Aset Lancar/Kwj.JP. BAIK: 2.39× ✓</t>
  </si>
  <si>
    <t>★ ★ Alokasi Tridharma Terimbang (ATT)</t>
  </si>
  <si>
    <t>Pend.55%/Rist.30%/PkM.15% — deviasi &lt; 10% ✓</t>
  </si>
  <si>
    <t>Proporsional</t>
  </si>
  <si>
    <t>RINGKASAN: Indikator LAMEMBA Terpenuhi</t>
  </si>
  <si>
    <t>INDEKS KEBERLANJUTAN KEUANGAN (IKK) — LAMEMBA Indikator No. 8</t>
  </si>
  <si>
    <t>Skala 0–4. Target LAMEMBA ≥ 2.5. Predikat BAIK diperkirakan IKK ≈ 2.8</t>
  </si>
  <si>
    <t>Nilai Rasio (TS)</t>
  </si>
  <si>
    <t>Nilai Maks Acuan</t>
  </si>
  <si>
    <t>Skor Dinormalisasi (0–1)</t>
  </si>
  <si>
    <t>Bobot</t>
  </si>
  <si>
    <t>Kontribusi</t>
  </si>
  <si>
    <t>Rasio Kemandirian (RK)</t>
  </si>
  <si>
    <t>Rasio Efisiensi Operasional (REO)</t>
  </si>
  <si>
    <t>Rasio Likuiditas (RL)</t>
  </si>
  <si>
    <t>Pertumbuhan Pendapatan (GRR)</t>
  </si>
  <si>
    <t>TOTAL BOBOT</t>
  </si>
  <si>
    <t>IKK SKALA 0–4</t>
  </si>
  <si>
    <t>Target: ≥ 2.5</t>
  </si>
  <si>
    <t>3.5–4.0</t>
  </si>
  <si>
    <t>Sangat Baik</t>
  </si>
  <si>
    <t>Fondasi keuangan sangat kuat</t>
  </si>
  <si>
    <t>2.5–3.4</t>
  </si>
  <si>
    <t>Baik (Terpenuhi LAMEMBA)</t>
  </si>
  <si>
    <t>Memenuhi standar, keuangan stabil</t>
  </si>
  <si>
    <t>1.5–2.4</t>
  </si>
  <si>
    <t>Perhatian</t>
  </si>
  <si>
    <t>Di bawah standar, perlu perbaikan</t>
  </si>
  <si>
    <t>0–1.4</t>
  </si>
  <si>
    <t>Berisiko</t>
  </si>
  <si>
    <t>Keuangan rentan, risiko tinggi</t>
  </si>
  <si>
    <t>ANALISIS VARIANS ANGGARAN (VA) — LAMEMBA Indikator No. 3</t>
  </si>
  <si>
    <t>Rencana / RKAT</t>
  </si>
  <si>
    <t>Realisasi Aktual</t>
  </si>
  <si>
    <t>Status</t>
  </si>
  <si>
    <t>Catatan</t>
  </si>
  <si>
    <t>Investasi Sarpras (Aset+Pemeliharaan)</t>
  </si>
  <si>
    <t>RATA-RATA VARIANS ABSOLUT (LAMEMBA ≤ ±10%)</t>
  </si>
  <si>
    <t>ALOKASI TRIDHARMA TERIMBANG (ATT) — LAMEMBA Indikator No. 10</t>
  </si>
  <si>
    <t>Evaluasi</t>
  </si>
  <si>
    <t>Pengabdian kepada Masyarakat (PkM)</t>
  </si>
  <si>
    <t>TOTAL</t>
  </si>
  <si>
    <t>INDEKS ATT</t>
  </si>
  <si>
    <t>Target: ~1.0</t>
  </si>
  <si>
    <t>SCORECARD KESEHATAN KEUANGAN GABUNGAN (CFI + LAMEMBA) — PREDIKAT BAIK</t>
  </si>
  <si>
    <t>Kategori</t>
  </si>
  <si>
    <t>Rasio Kunci</t>
  </si>
  <si>
    <t>Skor (0–100)</t>
  </si>
  <si>
    <t>IKK Acuan</t>
  </si>
  <si>
    <t>PIC</t>
  </si>
  <si>
    <t>Kekuatan Finansial</t>
  </si>
  <si>
    <t>Primary Reserve Ratio, Viability Ratio, Return on Net Assets</t>
  </si>
  <si>
    <t>≤1.4</t>
  </si>
  <si>
    <t>CFO</t>
  </si>
  <si>
    <t>Likuiditas</t>
  </si>
  <si>
    <t>Liquidity Ratio, Days Cash on Hand, ★ Rasio Likuiditas (RL)</t>
  </si>
  <si>
    <t>≤1.0</t>
  </si>
  <si>
    <t>Treasurer/CFO</t>
  </si>
  <si>
    <t>Efisiensi Operasi</t>
  </si>
  <si>
    <t>Operating Margin, ★ REO, Admin Expense Ratio, ★ Varians Anggaran</t>
  </si>
  <si>
    <t>≤0.8</t>
  </si>
  <si>
    <t>Budget Dir./CFO</t>
  </si>
  <si>
    <t>Manajemen Utang</t>
  </si>
  <si>
    <t>Debt Service Coverage, Debt-to-Assets, Interest Coverage</t>
  </si>
  <si>
    <t>≤0.6</t>
  </si>
  <si>
    <t>Diversifikasi Pendapatan</t>
  </si>
  <si>
    <t>★ RK, Revenue Concentration, Gift Revenue, ★ GRR</t>
  </si>
  <si>
    <t>≤0.2</t>
  </si>
  <si>
    <t>CFO/Dev.Office</t>
  </si>
  <si>
    <t>100%</t>
  </si>
  <si>
    <t>DASHBOARD KESEHATAN KEUANGAN — LAMEMBA KRITERIA 3 · PREDIKAT BAIK (2024/2025)</t>
  </si>
  <si>
    <t>PTS Menengah, 4.200 Mhs, SPP Rp 8 jt/sem. Total Pdpt Rp 90,8 M. Semua nilai otomatis dari INPUT DATA.</t>
  </si>
  <si>
    <t>Indikator LAMEMBA
Terpenuhi</t>
  </si>
  <si>
    <t>Tingkat Pemenuhan
LAMEMBA</t>
  </si>
  <si>
    <t>IKK
(Target ≥ 2.5)</t>
  </si>
  <si>
    <t>Rasio Kemandirian
(Target ≥ 30%)</t>
  </si>
  <si>
    <t>10 INDIKATOR LAMEMBA — STATUS</t>
  </si>
  <si>
    <t>RINGKASAN 29 RASIO KEUANGAN</t>
  </si>
  <si>
    <t>Rasio</t>
  </si>
  <si>
    <t>Target</t>
  </si>
  <si>
    <t>Ket.</t>
  </si>
  <si>
    <t>Primary Reserve</t>
  </si>
  <si>
    <t>&gt;0.40</t>
  </si>
  <si>
    <t>Debt/Student</t>
  </si>
  <si>
    <t>Bench.</t>
  </si>
  <si>
    <t>&gt;0.35</t>
  </si>
  <si>
    <t>Endow./Student</t>
  </si>
  <si>
    <t>Var.</t>
  </si>
  <si>
    <t>Return on NA</t>
  </si>
  <si>
    <t>&gt;2%</t>
  </si>
  <si>
    <t>Endow.Spend Rate</t>
  </si>
  <si>
    <t>4-6%</t>
  </si>
  <si>
    <t>Net Op.Revenue</t>
  </si>
  <si>
    <t>Invest.Return</t>
  </si>
  <si>
    <t>&gt;8%</t>
  </si>
  <si>
    <t>≥1.25</t>
  </si>
  <si>
    <t>Endow/Debt</t>
  </si>
  <si>
    <t>&gt;2×</t>
  </si>
  <si>
    <t>Days Cash</t>
  </si>
  <si>
    <t>≥120 hr</t>
  </si>
  <si>
    <t>Rev.Concentr.</t>
  </si>
  <si>
    <t>&lt;60%</t>
  </si>
  <si>
    <t>Cash to Debt</t>
  </si>
  <si>
    <t>&gt;0.25</t>
  </si>
  <si>
    <t>Gift Revenue</t>
  </si>
  <si>
    <t>&gt;10%</t>
  </si>
  <si>
    <t>≥4%</t>
  </si>
  <si>
    <t>Research Rev.</t>
  </si>
  <si>
    <t>Admin Expense</t>
  </si>
  <si>
    <t>&lt;15%</t>
  </si>
  <si>
    <t>Auxiliary Rev.</t>
  </si>
  <si>
    <t>15-25%</t>
  </si>
  <si>
    <t>Tuition Depend.</t>
  </si>
  <si>
    <t>&lt;50%</t>
  </si>
  <si>
    <t>SFR</t>
  </si>
  <si>
    <t>12-20</t>
  </si>
  <si>
    <t>Cost/Student</t>
  </si>
  <si>
    <t>SPMI</t>
  </si>
  <si>
    <t>30-50%</t>
  </si>
  <si>
    <t>DSCR</t>
  </si>
  <si>
    <t>≥2×</t>
  </si>
  <si>
    <t>Net Tuit/Stud</t>
  </si>
  <si>
    <t>Naik</t>
  </si>
  <si>
    <t>Debt/Assets</t>
  </si>
  <si>
    <t>&lt;25%</t>
  </si>
  <si>
    <t>Faculty Cost</t>
  </si>
  <si>
    <t>45-55%</t>
  </si>
  <si>
    <t>Interest Cov.</t>
  </si>
  <si>
    <t>≥3×</t>
  </si>
  <si>
    <t>JADWAL MONITORING RASIO KEUANGAN — PREDIKAT BAIK</t>
  </si>
  <si>
    <t>Nama Rasio</t>
  </si>
  <si>
    <t>Frekuensi</t>
  </si>
  <si>
    <t>Bulanan</t>
  </si>
  <si>
    <t>Kuartalan</t>
  </si>
  <si>
    <t>Tahunan</t>
  </si>
  <si>
    <t>✓</t>
  </si>
  <si>
    <t>Budget Dir.</t>
  </si>
  <si>
    <t>Treasurer</t>
  </si>
  <si>
    <t>★ Rasio Likuiditas (RL) — LAMEMBA</t>
  </si>
  <si>
    <t>Cost per Student / ★ RBM — LAMEMBA</t>
  </si>
  <si>
    <t>★ REO — LAMEMBA (target perbaikan)</t>
  </si>
  <si>
    <t>CIO</t>
  </si>
  <si>
    <t>Investment Return (Endowment)</t>
  </si>
  <si>
    <t>Endowment to Debt (target ≥2×)</t>
  </si>
  <si>
    <t>CFO/CIO</t>
  </si>
  <si>
    <t>★ RK Kemandirian — LAMEMBA</t>
  </si>
  <si>
    <t>★ GRR Pertumbuhan — LAMEMBA</t>
  </si>
  <si>
    <t>Dev.Office</t>
  </si>
  <si>
    <t>Research Off.</t>
  </si>
  <si>
    <t>Semesteran</t>
  </si>
  <si>
    <t>Akademik</t>
  </si>
  <si>
    <t>Discount Rate (target 30-50%)</t>
  </si>
  <si>
    <t>Fin.Aid</t>
  </si>
  <si>
    <t>HR/CFO</t>
  </si>
  <si>
    <t>★ RISDM — LAMEMBA (target ≥15%)</t>
  </si>
  <si>
    <t>★ RISP — LAMEMBA (target ≥20%)</t>
  </si>
  <si>
    <t>★ Varians Anggaran (VA) — LAMEMBA</t>
  </si>
  <si>
    <t>★ IKK — LAMEMBA</t>
  </si>
  <si>
    <t>★ Alokasi Tridharma (ATT) — LAMEMBA</t>
  </si>
  <si>
    <t>CFO/Warek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</si>
</sst>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5">
    <font>
      <sz val="11"/>
      <color theme="1"/>
      <name val="Calibri"/>
      <family val="2"/>
      <charset val="1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9"/>
      <color rgb="FF375623"/>
      <name val="Arial"/>
      <family val="2"/>
    </font>
    <font>
      <sz val="9"/>
      <color rgb="FF375623"/>
      <name val="Arial"/>
      <family val="2"/>
    </font>
    <font>
      <b/>
      <sz val="9"/>
      <color rgb="FFCC0000"/>
      <name val="Arial"/>
      <family val="2"/>
    </font>
    <font>
      <sz val="9"/>
      <color rgb="FFCC0000"/>
      <name val="Arial"/>
      <family val="2"/>
    </font>
    <font>
      <b/>
      <sz val="9"/>
      <color rgb="FF7F6000"/>
      <name val="Arial"/>
      <family val="2"/>
    </font>
    <font>
      <sz val="9"/>
      <color rgb="FF7F6000"/>
      <name val="Arial"/>
      <family val="2"/>
    </font>
    <font>
      <b/>
      <sz val="9"/>
      <color rgb="FF0000FF"/>
      <name val="Arial"/>
      <family val="2"/>
    </font>
    <font>
      <b/>
      <sz val="9"/>
      <color rgb="FF008000"/>
      <name val="Arial"/>
      <family val="2"/>
    </font>
    <font>
      <sz val="9"/>
      <color rgb="FF2E75B6"/>
      <name val="Arial"/>
      <family val="2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sz val="9"/>
      <color rgb="FF595959"/>
      <name val="Arial"/>
      <family val="2"/>
    </font>
    <font>
      <b/>
      <sz val="10"/>
      <color rgb="FF000000"/>
      <name val="Arial"/>
      <family val="2"/>
    </font>
    <font>
      <b/>
      <sz val="10"/>
      <color rgb="FF7F6000"/>
      <name val="Arial"/>
      <family val="2"/>
    </font>
    <font>
      <b/>
      <sz val="10"/>
      <color rgb="FF375623"/>
      <name val="Arial"/>
      <family val="2"/>
    </font>
    <font>
      <b/>
      <sz val="10"/>
      <color rgb="FFFF0000"/>
      <name val="Arial"/>
      <family val="2"/>
    </font>
    <font>
      <sz val="9"/>
      <color rgb="FF1F4E79"/>
      <name val="Arial"/>
      <family val="2"/>
    </font>
    <font>
      <sz val="9"/>
      <color rgb="FF1A3A5C"/>
      <name val="Arial"/>
      <family val="2"/>
    </font>
    <font>
      <sz val="9"/>
      <color rgb="FF008000"/>
      <name val="Arial"/>
      <family val="2"/>
    </font>
    <font>
      <sz val="10"/>
      <color rgb="FF7F6000"/>
      <name val="Arial"/>
      <family val="2"/>
    </font>
    <font>
      <sz val="9"/>
      <color rgb="FF444444"/>
      <name val="Arial"/>
      <family val="2"/>
    </font>
    <font>
      <sz val="10"/>
      <color rgb="FF008000"/>
      <name val="Arial"/>
      <family val="2"/>
    </font>
    <font>
      <sz val="10"/>
      <color rgb="FF375623"/>
      <name val="Arial"/>
      <family val="2"/>
    </font>
    <font>
      <sz val="10"/>
      <color rgb="FF843C0C"/>
      <name val="Arial"/>
      <family val="2"/>
    </font>
    <font>
      <b/>
      <sz val="10"/>
      <color rgb="FF008000"/>
      <name val="Arial"/>
      <family val="2"/>
    </font>
    <font>
      <sz val="10"/>
      <color rgb="FF1F4E79"/>
      <name val="Arial"/>
      <family val="2"/>
    </font>
    <font>
      <sz val="10"/>
      <color rgb="FF7030A0"/>
      <name val="Arial"/>
      <family val="2"/>
    </font>
    <font>
      <b/>
      <sz val="10"/>
      <color rgb="FF1F4E79"/>
      <name val="Arial"/>
      <family val="2"/>
    </font>
    <font>
      <b/>
      <sz val="14"/>
      <color rgb="FF1F4E79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1F4E79"/>
        <bgColor rgb="FF1F5C5C"/>
      </patternFill>
    </fill>
    <fill>
      <patternFill patternType="solid">
        <fgColor rgb="FF2E75B6"/>
        <bgColor rgb="FF008080"/>
      </patternFill>
    </fill>
    <fill>
      <patternFill patternType="solid">
        <fgColor rgb="FFF2F2F2"/>
        <bgColor rgb="FFF5F5F5"/>
      </patternFill>
    </fill>
    <fill>
      <patternFill patternType="solid">
        <fgColor rgb="FFE2EFDA"/>
        <bgColor rgb="FFDEEAF1"/>
      </patternFill>
    </fill>
    <fill>
      <patternFill patternType="solid">
        <fgColor rgb="FFFFFFFF"/>
        <bgColor rgb="FFF5F5F5"/>
      </patternFill>
    </fill>
    <fill>
      <patternFill patternType="solid">
        <fgColor rgb="FFDEEAF1"/>
        <bgColor rgb="FFE2EFDA"/>
      </patternFill>
    </fill>
    <fill>
      <patternFill patternType="solid">
        <fgColor rgb="FFFFFFC7"/>
        <bgColor rgb="FFF5F5F5"/>
      </patternFill>
    </fill>
    <fill>
      <patternFill patternType="solid">
        <fgColor rgb="FFBDD7EE"/>
        <bgColor rgb="FFD0D0D0"/>
      </patternFill>
    </fill>
    <fill>
      <patternFill patternType="solid">
        <fgColor rgb="FFF5F5F5"/>
        <bgColor rgb="FFF2F2F2"/>
      </patternFill>
    </fill>
    <fill>
      <patternFill patternType="solid">
        <fgColor rgb="FF000000"/>
        <bgColor rgb="FF003300"/>
      </patternFill>
    </fill>
    <fill>
      <patternFill patternType="solid">
        <fgColor rgb="FF1F5C5C"/>
        <bgColor rgb="FF1F4E79"/>
      </patternFill>
    </fill>
    <fill>
      <patternFill patternType="solid">
        <fgColor rgb="FF375623"/>
        <bgColor rgb="FF444444"/>
      </patternFill>
    </fill>
    <fill>
      <patternFill patternType="solid">
        <fgColor rgb="FF7F6000"/>
        <bgColor rgb="FF843C0C"/>
      </patternFill>
    </fill>
    <fill>
      <patternFill patternType="solid">
        <fgColor rgb="FF44236A"/>
        <bgColor rgb="FF444444"/>
      </patternFill>
    </fill>
    <fill>
      <patternFill patternType="solid">
        <fgColor rgb="FFFCE4D6"/>
        <bgColor rgb="FFF2F2F2"/>
      </patternFill>
    </fill>
  </fills>
  <borders count="3">
    <border>
      <left/>
      <right/>
      <top/>
      <bottom/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3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left" vertical="center"/>
    </xf>
    <xf numFmtId="0" fontId="8" fillId="5" borderId="2" xfId="0" applyFont="1" applyFill="1" applyBorder="1" applyAlignment="1">
      <alignment horizontal="left" vertical="center" wrapText="1"/>
    </xf>
    <xf numFmtId="0" fontId="9" fillId="5" borderId="2" xfId="0" applyFont="1" applyFill="1" applyBorder="1" applyAlignment="1">
      <alignment horizontal="left" vertical="center"/>
    </xf>
    <xf numFmtId="0" fontId="10" fillId="5" borderId="2" xfId="0" applyFont="1" applyFill="1" applyBorder="1" applyAlignment="1">
      <alignment horizontal="left" vertical="center" wrapText="1"/>
    </xf>
    <xf numFmtId="0" fontId="11" fillId="6" borderId="2" xfId="0" applyFont="1" applyFill="1" applyBorder="1" applyAlignment="1">
      <alignment horizontal="left" vertical="center"/>
    </xf>
    <xf numFmtId="0" fontId="12" fillId="6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left" vertical="center"/>
    </xf>
    <xf numFmtId="0" fontId="12" fillId="5" borderId="2" xfId="0" applyFont="1" applyFill="1" applyBorder="1" applyAlignment="1">
      <alignment horizontal="left" vertical="center"/>
    </xf>
    <xf numFmtId="0" fontId="9" fillId="8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left" vertical="center"/>
    </xf>
    <xf numFmtId="3" fontId="16" fillId="6" borderId="2" xfId="0" applyNumberFormat="1" applyFont="1" applyFill="1" applyBorder="1" applyAlignment="1">
      <alignment horizontal="right" vertical="center"/>
    </xf>
    <xf numFmtId="0" fontId="17" fillId="4" borderId="2" xfId="0" applyFont="1" applyFill="1" applyBorder="1" applyAlignment="1">
      <alignment horizontal="left" vertical="center" wrapText="1"/>
    </xf>
    <xf numFmtId="0" fontId="15" fillId="7" borderId="2" xfId="0" applyFont="1" applyFill="1" applyBorder="1" applyAlignment="1">
      <alignment horizontal="left" vertical="center"/>
    </xf>
    <xf numFmtId="3" fontId="18" fillId="7" borderId="2" xfId="0" applyNumberFormat="1" applyFont="1" applyFill="1" applyBorder="1" applyAlignment="1">
      <alignment horizontal="right" vertical="center"/>
    </xf>
    <xf numFmtId="0" fontId="17" fillId="7" borderId="2" xfId="0" applyFont="1" applyFill="1" applyBorder="1" applyAlignment="1">
      <alignment horizontal="left" vertical="center" wrapText="1"/>
    </xf>
    <xf numFmtId="0" fontId="18" fillId="9" borderId="2" xfId="0" applyFont="1" applyFill="1" applyBorder="1" applyAlignment="1">
      <alignment horizontal="left" vertical="center"/>
    </xf>
    <xf numFmtId="3" fontId="18" fillId="9" borderId="2" xfId="0" applyNumberFormat="1" applyFont="1" applyFill="1" applyBorder="1" applyAlignment="1">
      <alignment horizontal="right" vertical="center"/>
    </xf>
    <xf numFmtId="0" fontId="15" fillId="9" borderId="2" xfId="0" applyFont="1" applyFill="1" applyBorder="1" applyAlignment="1">
      <alignment horizontal="left" vertical="center"/>
    </xf>
    <xf numFmtId="0" fontId="18" fillId="6" borderId="2" xfId="0" applyFont="1" applyFill="1" applyBorder="1" applyAlignment="1">
      <alignment horizontal="left" vertical="center"/>
    </xf>
    <xf numFmtId="3" fontId="18" fillId="6" borderId="2" xfId="0" applyNumberFormat="1" applyFont="1" applyFill="1" applyBorder="1" applyAlignment="1">
      <alignment horizontal="right" vertical="center"/>
    </xf>
    <xf numFmtId="0" fontId="17" fillId="7" borderId="2" xfId="0" applyFont="1" applyFill="1" applyBorder="1" applyAlignment="1">
      <alignment horizontal="left" vertical="center"/>
    </xf>
    <xf numFmtId="3" fontId="15" fillId="6" borderId="2" xfId="0" applyNumberFormat="1" applyFont="1" applyFill="1" applyBorder="1" applyAlignment="1">
      <alignment horizontal="right" vertical="center"/>
    </xf>
    <xf numFmtId="3" fontId="15" fillId="7" borderId="2" xfId="0" applyNumberFormat="1" applyFont="1" applyFill="1" applyBorder="1" applyAlignment="1">
      <alignment horizontal="right" vertical="center"/>
    </xf>
    <xf numFmtId="10" fontId="15" fillId="7" borderId="2" xfId="0" applyNumberFormat="1" applyFont="1" applyFill="1" applyBorder="1" applyAlignment="1">
      <alignment horizontal="right" vertical="center"/>
    </xf>
    <xf numFmtId="0" fontId="19" fillId="8" borderId="2" xfId="0" applyFont="1" applyFill="1" applyBorder="1" applyAlignment="1">
      <alignment horizontal="left" vertical="center"/>
    </xf>
    <xf numFmtId="0" fontId="0" fillId="8" borderId="2" xfId="0" applyFill="1" applyBorder="1"/>
    <xf numFmtId="10" fontId="19" fillId="8" borderId="2" xfId="0" applyNumberFormat="1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left" vertical="center"/>
    </xf>
    <xf numFmtId="164" fontId="20" fillId="4" borderId="2" xfId="0" applyNumberFormat="1" applyFont="1" applyFill="1" applyBorder="1" applyAlignment="1">
      <alignment horizontal="center" vertical="center"/>
    </xf>
    <xf numFmtId="10" fontId="21" fillId="9" borderId="2" xfId="0" applyNumberFormat="1" applyFont="1" applyFill="1" applyBorder="1" applyAlignment="1">
      <alignment horizontal="left" vertical="center"/>
    </xf>
    <xf numFmtId="0" fontId="4" fillId="10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23" fillId="6" borderId="2" xfId="0" applyFont="1" applyFill="1" applyBorder="1" applyAlignment="1">
      <alignment horizontal="left" vertical="center" wrapText="1"/>
    </xf>
    <xf numFmtId="10" fontId="24" fillId="7" borderId="2" xfId="0" applyNumberFormat="1" applyFont="1" applyFill="1" applyBorder="1" applyAlignment="1">
      <alignment horizontal="right" vertical="center"/>
    </xf>
    <xf numFmtId="10" fontId="24" fillId="4" borderId="2" xfId="0" applyNumberFormat="1" applyFont="1" applyFill="1" applyBorder="1" applyAlignment="1">
      <alignment horizontal="right" vertical="center"/>
    </xf>
    <xf numFmtId="0" fontId="16" fillId="11" borderId="2" xfId="0" applyFont="1" applyFill="1" applyBorder="1" applyAlignment="1">
      <alignment horizontal="center" vertical="center"/>
    </xf>
    <xf numFmtId="0" fontId="25" fillId="8" borderId="2" xfId="0" applyFont="1" applyFill="1" applyBorder="1" applyAlignment="1">
      <alignment horizontal="center" vertical="center"/>
    </xf>
    <xf numFmtId="2" fontId="25" fillId="8" borderId="2" xfId="0" applyNumberFormat="1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 wrapText="1"/>
    </xf>
    <xf numFmtId="0" fontId="26" fillId="4" borderId="2" xfId="0" applyFont="1" applyFill="1" applyBorder="1" applyAlignment="1">
      <alignment horizontal="left" vertical="center" wrapText="1"/>
    </xf>
    <xf numFmtId="2" fontId="24" fillId="7" borderId="2" xfId="0" applyNumberFormat="1" applyFont="1" applyFill="1" applyBorder="1" applyAlignment="1">
      <alignment horizontal="right" vertical="center"/>
    </xf>
    <xf numFmtId="2" fontId="24" fillId="4" borderId="2" xfId="0" applyNumberFormat="1" applyFont="1" applyFill="1" applyBorder="1" applyAlignment="1">
      <alignment horizontal="right" vertical="center"/>
    </xf>
    <xf numFmtId="0" fontId="24" fillId="5" borderId="2" xfId="0" applyFont="1" applyFill="1" applyBorder="1" applyAlignment="1">
      <alignment horizontal="left" vertical="center" wrapText="1"/>
    </xf>
    <xf numFmtId="0" fontId="23" fillId="5" borderId="2" xfId="0" applyFont="1" applyFill="1" applyBorder="1" applyAlignment="1">
      <alignment horizontal="left" vertical="center" wrapText="1"/>
    </xf>
    <xf numFmtId="0" fontId="16" fillId="5" borderId="2" xfId="0" applyFont="1" applyFill="1" applyBorder="1" applyAlignment="1">
      <alignment horizontal="center" vertical="center"/>
    </xf>
    <xf numFmtId="3" fontId="24" fillId="7" borderId="2" xfId="0" applyNumberFormat="1" applyFont="1" applyFill="1" applyBorder="1" applyAlignment="1">
      <alignment horizontal="right" vertical="center"/>
    </xf>
    <xf numFmtId="3" fontId="24" fillId="4" borderId="2" xfId="0" applyNumberFormat="1" applyFont="1" applyFill="1" applyBorder="1" applyAlignment="1">
      <alignment horizontal="right" vertical="center"/>
    </xf>
    <xf numFmtId="0" fontId="15" fillId="5" borderId="2" xfId="0" applyFont="1" applyFill="1" applyBorder="1" applyAlignment="1">
      <alignment horizontal="left" vertical="center"/>
    </xf>
    <xf numFmtId="0" fontId="12" fillId="5" borderId="2" xfId="0" applyFont="1" applyFill="1" applyBorder="1" applyAlignment="1">
      <alignment horizontal="left" vertical="center" wrapText="1"/>
    </xf>
    <xf numFmtId="0" fontId="23" fillId="5" borderId="2" xfId="0" applyFont="1" applyFill="1" applyBorder="1" applyAlignment="1">
      <alignment horizontal="left" vertical="center"/>
    </xf>
    <xf numFmtId="0" fontId="27" fillId="5" borderId="2" xfId="0" applyFont="1" applyFill="1" applyBorder="1" applyAlignment="1">
      <alignment horizontal="center" vertical="center"/>
    </xf>
    <xf numFmtId="0" fontId="0" fillId="0" borderId="2" xfId="0" applyBorder="1"/>
    <xf numFmtId="165" fontId="24" fillId="7" borderId="2" xfId="0" applyNumberFormat="1" applyFont="1" applyFill="1" applyBorder="1" applyAlignment="1">
      <alignment horizontal="right" vertical="center"/>
    </xf>
    <xf numFmtId="3" fontId="18" fillId="9" borderId="2" xfId="0" applyNumberFormat="1" applyFont="1" applyFill="1" applyBorder="1"/>
    <xf numFmtId="10" fontId="18" fillId="9" borderId="2" xfId="0" applyNumberFormat="1" applyFont="1" applyFill="1" applyBorder="1"/>
    <xf numFmtId="10" fontId="27" fillId="6" borderId="2" xfId="0" applyNumberFormat="1" applyFont="1" applyFill="1" applyBorder="1" applyAlignment="1">
      <alignment horizontal="right" vertical="center"/>
    </xf>
    <xf numFmtId="164" fontId="25" fillId="4" borderId="2" xfId="0" applyNumberFormat="1" applyFont="1" applyFill="1" applyBorder="1" applyAlignment="1">
      <alignment horizontal="center" vertical="center"/>
    </xf>
    <xf numFmtId="2" fontId="27" fillId="4" borderId="2" xfId="0" applyNumberFormat="1" applyFont="1" applyFill="1" applyBorder="1" applyAlignment="1">
      <alignment horizontal="center" vertical="center"/>
    </xf>
    <xf numFmtId="0" fontId="18" fillId="9" borderId="2" xfId="0" applyFont="1" applyFill="1" applyBorder="1" applyAlignment="1">
      <alignment horizontal="center" vertical="center"/>
    </xf>
    <xf numFmtId="10" fontId="18" fillId="9" borderId="2" xfId="0" applyNumberFormat="1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left" vertical="center"/>
    </xf>
    <xf numFmtId="165" fontId="18" fillId="9" borderId="2" xfId="0" applyNumberFormat="1" applyFont="1" applyFill="1" applyBorder="1" applyAlignment="1">
      <alignment horizontal="right" vertical="center"/>
    </xf>
    <xf numFmtId="0" fontId="18" fillId="6" borderId="2" xfId="0" applyFont="1" applyFill="1" applyBorder="1" applyAlignment="1">
      <alignment horizontal="center" vertical="center"/>
    </xf>
    <xf numFmtId="0" fontId="28" fillId="5" borderId="2" xfId="0" applyFont="1" applyFill="1" applyBorder="1" applyAlignment="1">
      <alignment horizontal="center" vertical="center"/>
    </xf>
    <xf numFmtId="0" fontId="28" fillId="5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0" fillId="6" borderId="2" xfId="0" applyFill="1" applyBorder="1"/>
    <xf numFmtId="0" fontId="25" fillId="8" borderId="2" xfId="0" applyFont="1" applyFill="1" applyBorder="1" applyAlignment="1">
      <alignment horizontal="left" vertical="center"/>
    </xf>
    <xf numFmtId="0" fontId="29" fillId="16" borderId="2" xfId="0" applyFont="1" applyFill="1" applyBorder="1" applyAlignment="1">
      <alignment horizontal="center" vertical="center"/>
    </xf>
    <xf numFmtId="0" fontId="29" fillId="16" borderId="2" xfId="0" applyFont="1" applyFill="1" applyBorder="1" applyAlignment="1">
      <alignment horizontal="left" vertical="center"/>
    </xf>
    <xf numFmtId="3" fontId="27" fillId="6" borderId="2" xfId="0" applyNumberFormat="1" applyFont="1" applyFill="1" applyBorder="1" applyAlignment="1">
      <alignment horizontal="right" vertical="center"/>
    </xf>
    <xf numFmtId="0" fontId="15" fillId="6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 wrapText="1"/>
    </xf>
    <xf numFmtId="3" fontId="2" fillId="2" borderId="2" xfId="0" applyNumberFormat="1" applyFont="1" applyFill="1" applyBorder="1" applyAlignment="1">
      <alignment horizontal="center" vertical="center"/>
    </xf>
    <xf numFmtId="164" fontId="30" fillId="4" borderId="2" xfId="0" applyNumberFormat="1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left" vertical="center"/>
    </xf>
    <xf numFmtId="164" fontId="18" fillId="9" borderId="2" xfId="0" applyNumberFormat="1" applyFont="1" applyFill="1" applyBorder="1" applyAlignment="1">
      <alignment horizontal="right" vertical="center"/>
    </xf>
    <xf numFmtId="165" fontId="18" fillId="9" borderId="2" xfId="0" applyNumberFormat="1" applyFont="1" applyFill="1" applyBorder="1" applyAlignment="1">
      <alignment horizontal="center" vertical="center"/>
    </xf>
    <xf numFmtId="9" fontId="31" fillId="4" borderId="2" xfId="0" applyNumberFormat="1" applyFont="1" applyFill="1" applyBorder="1" applyAlignment="1">
      <alignment horizontal="center" vertical="center"/>
    </xf>
    <xf numFmtId="2" fontId="32" fillId="9" borderId="2" xfId="0" applyNumberFormat="1" applyFont="1" applyFill="1" applyBorder="1" applyAlignment="1">
      <alignment horizontal="right" vertical="center"/>
    </xf>
    <xf numFmtId="0" fontId="15" fillId="4" borderId="2" xfId="0" applyFont="1" applyFill="1" applyBorder="1" applyAlignment="1">
      <alignment horizontal="center" vertical="center"/>
    </xf>
    <xf numFmtId="0" fontId="0" fillId="9" borderId="2" xfId="0" applyFill="1" applyBorder="1"/>
    <xf numFmtId="2" fontId="33" fillId="9" borderId="2" xfId="0" applyNumberFormat="1" applyFont="1" applyFill="1" applyBorder="1" applyAlignment="1">
      <alignment horizontal="right" vertical="center"/>
    </xf>
    <xf numFmtId="0" fontId="17" fillId="4" borderId="2" xfId="0" applyFont="1" applyFill="1" applyBorder="1" applyAlignment="1">
      <alignment horizontal="center" vertical="center" wrapText="1"/>
    </xf>
    <xf numFmtId="3" fontId="34" fillId="6" borderId="2" xfId="0" applyNumberFormat="1" applyFont="1" applyFill="1" applyBorder="1" applyAlignment="1">
      <alignment horizontal="center" vertical="center"/>
    </xf>
    <xf numFmtId="10" fontId="34" fillId="6" borderId="2" xfId="0" applyNumberFormat="1" applyFont="1" applyFill="1" applyBorder="1" applyAlignment="1">
      <alignment horizontal="center" vertical="center"/>
    </xf>
    <xf numFmtId="165" fontId="34" fillId="6" borderId="2" xfId="0" applyNumberFormat="1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165" fontId="27" fillId="6" borderId="2" xfId="0" applyNumberFormat="1" applyFont="1" applyFill="1" applyBorder="1" applyAlignment="1">
      <alignment horizontal="right" vertical="center"/>
    </xf>
    <xf numFmtId="2" fontId="27" fillId="6" borderId="2" xfId="0" applyNumberFormat="1" applyFont="1" applyFill="1" applyBorder="1" applyAlignment="1">
      <alignment horizontal="right" vertical="center"/>
    </xf>
    <xf numFmtId="0" fontId="2" fillId="2" borderId="2" xfId="0" applyFont="1" applyFill="1" applyBorder="1"/>
    <xf numFmtId="3" fontId="4" fillId="4" borderId="2" xfId="0" applyNumberFormat="1" applyFont="1" applyFill="1" applyBorder="1" applyAlignment="1">
      <alignment horizontal="center" vertical="center"/>
    </xf>
    <xf numFmtId="2" fontId="24" fillId="4" borderId="2" xfId="0" applyNumberFormat="1" applyFont="1" applyFill="1" applyBorder="1" applyAlignment="1">
      <alignment horizontal="center" vertical="center"/>
    </xf>
    <xf numFmtId="0" fontId="2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3" fontId="24" fillId="4" borderId="2" xfId="0" applyNumberFormat="1" applyFont="1" applyFill="1" applyBorder="1" applyAlignment="1">
      <alignment horizontal="center" vertical="center"/>
    </xf>
    <xf numFmtId="3" fontId="4" fillId="6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2" fontId="24" fillId="6" borderId="2" xfId="0" applyNumberFormat="1" applyFont="1" applyFill="1" applyBorder="1" applyAlignment="1">
      <alignment horizontal="center" vertical="center"/>
    </xf>
    <xf numFmtId="0" fontId="24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3" fontId="24" fillId="6" borderId="2" xfId="0" applyNumberFormat="1" applyFont="1" applyFill="1" applyBorder="1" applyAlignment="1">
      <alignment horizontal="center" vertical="center"/>
    </xf>
    <xf numFmtId="10" fontId="24" fillId="4" borderId="2" xfId="0" applyNumberFormat="1" applyFont="1" applyFill="1" applyBorder="1" applyAlignment="1">
      <alignment horizontal="center" vertical="center"/>
    </xf>
    <xf numFmtId="10" fontId="24" fillId="6" borderId="2" xfId="0" applyNumberFormat="1" applyFont="1" applyFill="1" applyBorder="1" applyAlignment="1">
      <alignment horizontal="center" vertical="center"/>
    </xf>
    <xf numFmtId="0" fontId="30" fillId="4" borderId="2" xfId="0" applyFont="1" applyFill="1" applyBorder="1" applyAlignment="1">
      <alignment horizontal="center" vertical="center"/>
    </xf>
    <xf numFmtId="0" fontId="30" fillId="6" borderId="2" xfId="0" applyFont="1" applyFill="1" applyBorder="1" applyAlignment="1">
      <alignment horizontal="center" vertical="center"/>
    </xf>
    <xf numFmtId="0" fontId="24" fillId="5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30" fillId="5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horizontal="left" vertical="center" wrapText="1"/>
    </xf>
    <xf numFmtId="0" fontId="13" fillId="7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14" fillId="14" borderId="1" xfId="0" applyFont="1" applyFill="1" applyBorder="1" applyAlignment="1">
      <alignment horizontal="center" vertical="center"/>
    </xf>
    <xf numFmtId="0" fontId="14" fillId="15" borderId="1" xfId="0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horizontal="left" vertical="center"/>
    </xf>
    <xf numFmtId="0" fontId="14" fillId="12" borderId="1" xfId="0" applyFont="1" applyFill="1" applyBorder="1" applyAlignment="1">
      <alignment horizontal="center" vertical="center"/>
    </xf>
    <xf numFmtId="0" fontId="0" fillId="9" borderId="1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C0000"/>
      <rgbColor rgb="FF008000"/>
      <rgbColor rgb="FF000080"/>
      <rgbColor rgb="FF7F6000"/>
      <rgbColor rgb="FF800080"/>
      <rgbColor rgb="FF1F5C5C"/>
      <rgbColor rgb="FFD0D0D0"/>
      <rgbColor rgb="FF808080"/>
      <rgbColor rgb="FF9999FF"/>
      <rgbColor rgb="FF7030A0"/>
      <rgbColor rgb="FFFFFFC7"/>
      <rgbColor rgb="FFDEEAF1"/>
      <rgbColor rgb="FF660066"/>
      <rgbColor rgb="FFFF8080"/>
      <rgbColor rgb="FF1F4E79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5F5F5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A3A5C"/>
      <rgbColor rgb="FF339966"/>
      <rgbColor rgb="FF003300"/>
      <rgbColor rgb="FF375623"/>
      <rgbColor rgb="FF843C0C"/>
      <rgbColor rgb="FF993366"/>
      <rgbColor rgb="FF44236A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zoomScaleNormal="100" workbookViewId="0">
      <selection activeCell="B9" sqref="B9:C9"/>
    </sheetView>
  </sheetViews>
  <sheetFormatPr defaultColWidth="8.7109375" defaultRowHeight="15"/>
  <cols>
    <col min="1" max="1" width="54" customWidth="1"/>
    <col min="2" max="2" width="20" customWidth="1"/>
    <col min="3" max="3" width="66" customWidth="1"/>
  </cols>
  <sheetData>
    <row r="1" spans="1:3" ht="25.5" customHeight="1">
      <c r="A1" s="118" t="s">
        <v>0</v>
      </c>
      <c r="B1" s="118"/>
      <c r="C1" s="118"/>
    </row>
    <row r="2" spans="1:3" ht="6" customHeight="1"/>
    <row r="3" spans="1:3" ht="19.5" customHeight="1">
      <c r="A3" s="117" t="s">
        <v>1</v>
      </c>
      <c r="B3" s="117"/>
      <c r="C3" s="117"/>
    </row>
    <row r="4" spans="1:3" ht="15.75" customHeight="1">
      <c r="A4" s="1" t="s">
        <v>2</v>
      </c>
      <c r="B4" s="116" t="s">
        <v>3</v>
      </c>
      <c r="C4" s="116"/>
    </row>
    <row r="5" spans="1:3" ht="15.75" customHeight="1">
      <c r="A5" s="1" t="s">
        <v>4</v>
      </c>
      <c r="B5" s="116" t="s">
        <v>5</v>
      </c>
      <c r="C5" s="116"/>
    </row>
    <row r="6" spans="1:3" ht="15.75" customHeight="1">
      <c r="A6" s="1" t="s">
        <v>6</v>
      </c>
      <c r="B6" s="116" t="s">
        <v>7</v>
      </c>
      <c r="C6" s="116"/>
    </row>
    <row r="7" spans="1:3" ht="15.75" customHeight="1">
      <c r="A7" s="1" t="s">
        <v>8</v>
      </c>
      <c r="B7" s="116" t="s">
        <v>9</v>
      </c>
      <c r="C7" s="116"/>
    </row>
    <row r="8" spans="1:3" ht="15.75" customHeight="1">
      <c r="A8" s="1" t="s">
        <v>10</v>
      </c>
      <c r="B8" s="116" t="s">
        <v>11</v>
      </c>
      <c r="C8" s="116"/>
    </row>
    <row r="9" spans="1:3" ht="15.75" customHeight="1">
      <c r="A9" s="1" t="s">
        <v>12</v>
      </c>
      <c r="B9" s="116" t="s">
        <v>13</v>
      </c>
      <c r="C9" s="116"/>
    </row>
    <row r="10" spans="1:3" ht="18" customHeight="1">
      <c r="A10" s="1" t="s">
        <v>14</v>
      </c>
      <c r="B10" s="116" t="s">
        <v>15</v>
      </c>
      <c r="C10" s="116"/>
    </row>
    <row r="11" spans="1:3" ht="6" customHeight="1"/>
    <row r="12" spans="1:3" ht="19.5" customHeight="1">
      <c r="A12" s="117" t="s">
        <v>16</v>
      </c>
      <c r="B12" s="117"/>
      <c r="C12" s="117"/>
    </row>
    <row r="13" spans="1:3" ht="15.75" customHeight="1">
      <c r="A13" s="1" t="s">
        <v>17</v>
      </c>
      <c r="B13" s="116" t="s">
        <v>18</v>
      </c>
      <c r="C13" s="116"/>
    </row>
    <row r="14" spans="1:3" ht="15.75" customHeight="1">
      <c r="A14" s="1" t="s">
        <v>19</v>
      </c>
      <c r="B14" s="116" t="s">
        <v>20</v>
      </c>
      <c r="C14" s="116"/>
    </row>
    <row r="15" spans="1:3" ht="15.75" customHeight="1">
      <c r="A15" s="1" t="s">
        <v>21</v>
      </c>
      <c r="B15" s="116" t="s">
        <v>22</v>
      </c>
      <c r="C15" s="116"/>
    </row>
    <row r="16" spans="1:3" ht="15.75" customHeight="1">
      <c r="A16" s="1" t="s">
        <v>23</v>
      </c>
      <c r="B16" s="116" t="s">
        <v>24</v>
      </c>
      <c r="C16" s="116"/>
    </row>
    <row r="17" spans="1:3" ht="15.75" customHeight="1">
      <c r="A17" s="1" t="s">
        <v>25</v>
      </c>
      <c r="B17" s="116" t="s">
        <v>26</v>
      </c>
      <c r="C17" s="116"/>
    </row>
    <row r="18" spans="1:3" ht="15.75" customHeight="1">
      <c r="A18" s="1" t="s">
        <v>27</v>
      </c>
      <c r="B18" s="116" t="s">
        <v>28</v>
      </c>
      <c r="C18" s="116"/>
    </row>
    <row r="19" spans="1:3" ht="15.75" customHeight="1">
      <c r="A19" s="1" t="s">
        <v>29</v>
      </c>
      <c r="B19" s="116" t="s">
        <v>30</v>
      </c>
      <c r="C19" s="116"/>
    </row>
    <row r="20" spans="1:3" ht="6" customHeight="1"/>
    <row r="21" spans="1:3" ht="19.5" customHeight="1">
      <c r="A21" s="117" t="s">
        <v>31</v>
      </c>
      <c r="B21" s="117"/>
      <c r="C21" s="117"/>
    </row>
    <row r="22" spans="1:3" ht="18" customHeight="1">
      <c r="A22" s="2" t="s">
        <v>32</v>
      </c>
      <c r="B22" s="3" t="s">
        <v>33</v>
      </c>
      <c r="C22" s="4" t="s">
        <v>34</v>
      </c>
    </row>
    <row r="23" spans="1:3" ht="18" customHeight="1">
      <c r="A23" s="5" t="s">
        <v>35</v>
      </c>
      <c r="B23" s="3" t="s">
        <v>36</v>
      </c>
      <c r="C23" s="6" t="s">
        <v>37</v>
      </c>
    </row>
    <row r="24" spans="1:3" ht="18" customHeight="1">
      <c r="A24" s="2" t="s">
        <v>38</v>
      </c>
      <c r="B24" s="3" t="s">
        <v>39</v>
      </c>
      <c r="C24" s="4" t="s">
        <v>40</v>
      </c>
    </row>
    <row r="25" spans="1:3" ht="18" customHeight="1">
      <c r="A25" s="5" t="s">
        <v>41</v>
      </c>
      <c r="B25" s="3" t="s">
        <v>42</v>
      </c>
      <c r="C25" s="6" t="s">
        <v>43</v>
      </c>
    </row>
    <row r="26" spans="1:3" ht="18" customHeight="1">
      <c r="A26" s="5" t="s">
        <v>44</v>
      </c>
      <c r="B26" s="3" t="s">
        <v>45</v>
      </c>
      <c r="C26" s="6" t="s">
        <v>46</v>
      </c>
    </row>
    <row r="27" spans="1:3" ht="18" customHeight="1">
      <c r="A27" s="2" t="s">
        <v>47</v>
      </c>
      <c r="B27" s="3" t="s">
        <v>48</v>
      </c>
      <c r="C27" s="4" t="s">
        <v>49</v>
      </c>
    </row>
    <row r="28" spans="1:3" ht="18" customHeight="1">
      <c r="A28" s="7" t="s">
        <v>50</v>
      </c>
      <c r="B28" s="3" t="s">
        <v>51</v>
      </c>
      <c r="C28" s="8" t="s">
        <v>52</v>
      </c>
    </row>
    <row r="29" spans="1:3" ht="18" customHeight="1">
      <c r="A29" s="2" t="s">
        <v>53</v>
      </c>
      <c r="B29" s="3" t="s">
        <v>54</v>
      </c>
      <c r="C29" s="4" t="s">
        <v>55</v>
      </c>
    </row>
    <row r="30" spans="1:3" ht="18" customHeight="1">
      <c r="A30" s="2" t="s">
        <v>56</v>
      </c>
      <c r="B30" s="3" t="s">
        <v>57</v>
      </c>
      <c r="C30" s="4" t="s">
        <v>58</v>
      </c>
    </row>
    <row r="31" spans="1:3" ht="18" customHeight="1">
      <c r="A31" s="2" t="s">
        <v>59</v>
      </c>
      <c r="B31" s="3" t="s">
        <v>60</v>
      </c>
      <c r="C31" s="4" t="s">
        <v>61</v>
      </c>
    </row>
    <row r="32" spans="1:3" ht="6" customHeight="1"/>
    <row r="33" spans="1:3" ht="19.5" customHeight="1">
      <c r="A33" s="117" t="s">
        <v>62</v>
      </c>
      <c r="B33" s="117"/>
      <c r="C33" s="117"/>
    </row>
    <row r="34" spans="1:3" ht="15.75" customHeight="1">
      <c r="A34" s="9" t="s">
        <v>63</v>
      </c>
      <c r="B34" s="116" t="s">
        <v>64</v>
      </c>
      <c r="C34" s="116"/>
    </row>
    <row r="35" spans="1:3" ht="15.75" customHeight="1">
      <c r="A35" s="10" t="s">
        <v>65</v>
      </c>
      <c r="B35" s="116" t="s">
        <v>66</v>
      </c>
      <c r="C35" s="116"/>
    </row>
    <row r="36" spans="1:3" ht="15.75" customHeight="1">
      <c r="A36" s="11" t="s">
        <v>67</v>
      </c>
      <c r="B36" s="116" t="s">
        <v>68</v>
      </c>
      <c r="C36" s="116"/>
    </row>
    <row r="37" spans="1:3" ht="15.75" customHeight="1">
      <c r="A37" s="12" t="s">
        <v>69</v>
      </c>
      <c r="B37" s="116" t="s">
        <v>70</v>
      </c>
      <c r="C37" s="116"/>
    </row>
    <row r="38" spans="1:3" ht="15.75" customHeight="1">
      <c r="A38" s="13" t="s">
        <v>71</v>
      </c>
      <c r="B38" s="116" t="s">
        <v>72</v>
      </c>
      <c r="C38" s="116"/>
    </row>
  </sheetData>
  <mergeCells count="24">
    <mergeCell ref="A1:C1"/>
    <mergeCell ref="A3:C3"/>
    <mergeCell ref="B4:C4"/>
    <mergeCell ref="B5:C5"/>
    <mergeCell ref="B6:C6"/>
    <mergeCell ref="B7:C7"/>
    <mergeCell ref="B8:C8"/>
    <mergeCell ref="B9:C9"/>
    <mergeCell ref="B10:C10"/>
    <mergeCell ref="A12:C12"/>
    <mergeCell ref="B13:C13"/>
    <mergeCell ref="B14:C14"/>
    <mergeCell ref="B15:C15"/>
    <mergeCell ref="B16:C16"/>
    <mergeCell ref="B17:C17"/>
    <mergeCell ref="B35:C35"/>
    <mergeCell ref="B36:C36"/>
    <mergeCell ref="B37:C37"/>
    <mergeCell ref="B38:C38"/>
    <mergeCell ref="B18:C18"/>
    <mergeCell ref="B19:C19"/>
    <mergeCell ref="A21:C21"/>
    <mergeCell ref="A33:C33"/>
    <mergeCell ref="B34:C3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0"/>
  <sheetViews>
    <sheetView zoomScaleNormal="100" workbookViewId="0">
      <selection activeCell="B16" sqref="B16"/>
    </sheetView>
  </sheetViews>
  <sheetFormatPr defaultColWidth="8.7109375" defaultRowHeight="15"/>
  <cols>
    <col min="1" max="1" width="54" customWidth="1"/>
    <col min="2" max="4" width="22" customWidth="1"/>
    <col min="5" max="5" width="72.140625" customWidth="1"/>
  </cols>
  <sheetData>
    <row r="1" spans="1:5" ht="25.5" customHeight="1">
      <c r="A1" s="118" t="s">
        <v>73</v>
      </c>
      <c r="B1" s="118"/>
      <c r="C1" s="118"/>
      <c r="D1" s="118"/>
      <c r="E1" s="118"/>
    </row>
    <row r="2" spans="1:5" ht="18" customHeight="1">
      <c r="A2" s="121" t="s">
        <v>74</v>
      </c>
      <c r="B2" s="121"/>
      <c r="C2" s="121"/>
      <c r="D2" s="121"/>
      <c r="E2" s="121"/>
    </row>
    <row r="3" spans="1:5" ht="7.5" customHeight="1"/>
    <row r="4" spans="1:5" ht="21.75" customHeight="1">
      <c r="A4" s="119" t="s">
        <v>75</v>
      </c>
      <c r="B4" s="119"/>
      <c r="C4" s="119"/>
      <c r="D4" s="119"/>
      <c r="E4" s="119"/>
    </row>
    <row r="5" spans="1:5" ht="21.75" customHeight="1">
      <c r="A5" s="14" t="s">
        <v>76</v>
      </c>
      <c r="B5" s="14" t="s">
        <v>77</v>
      </c>
      <c r="C5" s="14" t="s">
        <v>78</v>
      </c>
      <c r="D5" s="14" t="s">
        <v>79</v>
      </c>
      <c r="E5" s="14" t="s">
        <v>80</v>
      </c>
    </row>
    <row r="6" spans="1:5" ht="18" customHeight="1">
      <c r="A6" s="15" t="s">
        <v>81</v>
      </c>
      <c r="B6" s="16">
        <v>67200000000</v>
      </c>
      <c r="C6" s="16">
        <v>60000000000</v>
      </c>
      <c r="D6" s="16">
        <v>53600000000</v>
      </c>
      <c r="E6" s="17" t="s">
        <v>82</v>
      </c>
    </row>
    <row r="7" spans="1:5" ht="18" customHeight="1">
      <c r="A7" s="15" t="s">
        <v>83</v>
      </c>
      <c r="B7" s="16">
        <v>-16800000000</v>
      </c>
      <c r="C7" s="16">
        <v>-15000000000</v>
      </c>
      <c r="D7" s="16">
        <v>-13400000000</v>
      </c>
      <c r="E7" s="17" t="s">
        <v>84</v>
      </c>
    </row>
    <row r="8" spans="1:5" ht="18" customHeight="1">
      <c r="A8" s="15" t="s">
        <v>85</v>
      </c>
      <c r="B8" s="16">
        <v>8000000000</v>
      </c>
      <c r="C8" s="16">
        <v>7200000000</v>
      </c>
      <c r="D8" s="16">
        <v>6500000000</v>
      </c>
      <c r="E8" s="17" t="s">
        <v>86</v>
      </c>
    </row>
    <row r="9" spans="1:5" ht="18" customHeight="1">
      <c r="A9" s="15" t="s">
        <v>87</v>
      </c>
      <c r="B9" s="16">
        <v>10000000000</v>
      </c>
      <c r="C9" s="16">
        <v>9800000000</v>
      </c>
      <c r="D9" s="16">
        <v>7800000000</v>
      </c>
      <c r="E9" s="17" t="s">
        <v>88</v>
      </c>
    </row>
    <row r="10" spans="1:5" ht="18" customHeight="1">
      <c r="A10" s="15" t="s">
        <v>89</v>
      </c>
      <c r="B10" s="16">
        <v>5800000000</v>
      </c>
      <c r="C10" s="16">
        <v>4900000000</v>
      </c>
      <c r="D10" s="16">
        <v>4100000000</v>
      </c>
      <c r="E10" s="17" t="s">
        <v>90</v>
      </c>
    </row>
    <row r="11" spans="1:5" ht="18" customHeight="1">
      <c r="A11" s="15" t="s">
        <v>91</v>
      </c>
      <c r="B11" s="16">
        <v>9000000000</v>
      </c>
      <c r="C11" s="16">
        <v>7600000000</v>
      </c>
      <c r="D11" s="16">
        <v>6400000000</v>
      </c>
      <c r="E11" s="17" t="s">
        <v>92</v>
      </c>
    </row>
    <row r="12" spans="1:5" ht="18" customHeight="1">
      <c r="A12" s="15" t="s">
        <v>93</v>
      </c>
      <c r="B12" s="16">
        <v>3200000000</v>
      </c>
      <c r="C12" s="16">
        <v>2700000000</v>
      </c>
      <c r="D12" s="16">
        <v>2300000000</v>
      </c>
      <c r="E12" s="17" t="s">
        <v>94</v>
      </c>
    </row>
    <row r="13" spans="1:5" ht="18" customHeight="1">
      <c r="A13" s="15" t="s">
        <v>95</v>
      </c>
      <c r="B13" s="16">
        <v>2400000000</v>
      </c>
      <c r="C13" s="16">
        <v>2000000000</v>
      </c>
      <c r="D13" s="16">
        <v>1700000000</v>
      </c>
      <c r="E13" s="17" t="s">
        <v>96</v>
      </c>
    </row>
    <row r="14" spans="1:5" ht="18" customHeight="1">
      <c r="A14" s="18" t="s">
        <v>97</v>
      </c>
      <c r="B14" s="19">
        <f>B6+B7</f>
        <v>50400000000</v>
      </c>
      <c r="C14" s="19">
        <f>C6+C7</f>
        <v>45000000000</v>
      </c>
      <c r="D14" s="19">
        <f>D6+D7</f>
        <v>40200000000</v>
      </c>
      <c r="E14" s="20" t="s">
        <v>98</v>
      </c>
    </row>
    <row r="15" spans="1:5" ht="18" customHeight="1">
      <c r="A15" s="18" t="s">
        <v>99</v>
      </c>
      <c r="B15" s="19">
        <f>B6+B7+B9+B10+B11+B12+B13</f>
        <v>80800000000</v>
      </c>
      <c r="C15" s="19">
        <f>C6+C7+C9+C10+C11+C12+C13</f>
        <v>72000000000</v>
      </c>
      <c r="D15" s="19">
        <f>D6+D7+D9+D10+D11+D12+D13</f>
        <v>62500000000</v>
      </c>
      <c r="E15" s="20" t="s">
        <v>98</v>
      </c>
    </row>
    <row r="16" spans="1:5" ht="21.75" customHeight="1">
      <c r="A16" s="21" t="s">
        <v>100</v>
      </c>
      <c r="B16" s="22">
        <f>SUM(B6:B13)</f>
        <v>88800000000</v>
      </c>
      <c r="C16" s="22">
        <f>SUM(C6:C13)</f>
        <v>79200000000</v>
      </c>
      <c r="D16" s="22">
        <f>SUM(D6:D13)</f>
        <v>69000000000</v>
      </c>
      <c r="E16" s="23"/>
    </row>
    <row r="17" spans="1:5" ht="7.5" customHeight="1"/>
    <row r="18" spans="1:5" ht="21.75" customHeight="1">
      <c r="A18" s="119" t="s">
        <v>101</v>
      </c>
      <c r="B18" s="119"/>
      <c r="C18" s="119"/>
      <c r="D18" s="119"/>
      <c r="E18" s="119"/>
    </row>
    <row r="19" spans="1:5" ht="21.75" customHeight="1">
      <c r="A19" s="14" t="s">
        <v>102</v>
      </c>
      <c r="B19" s="14" t="s">
        <v>77</v>
      </c>
      <c r="C19" s="14" t="s">
        <v>78</v>
      </c>
      <c r="D19" s="14" t="s">
        <v>79</v>
      </c>
      <c r="E19" s="14" t="s">
        <v>80</v>
      </c>
    </row>
    <row r="20" spans="1:5" ht="21.75" customHeight="1">
      <c r="A20" s="15" t="s">
        <v>103</v>
      </c>
      <c r="B20" s="16">
        <v>51000000000</v>
      </c>
      <c r="C20" s="16">
        <v>44000000000</v>
      </c>
      <c r="D20" s="16">
        <v>38000000000</v>
      </c>
      <c r="E20" s="17" t="s">
        <v>104</v>
      </c>
    </row>
    <row r="21" spans="1:5" ht="18" customHeight="1">
      <c r="A21" s="15" t="s">
        <v>105</v>
      </c>
      <c r="B21" s="16">
        <v>6300000000</v>
      </c>
      <c r="C21" s="16">
        <v>5500000000</v>
      </c>
      <c r="D21" s="16">
        <v>4800000000</v>
      </c>
      <c r="E21" s="17" t="s">
        <v>106</v>
      </c>
    </row>
    <row r="22" spans="1:5" ht="18" customHeight="1">
      <c r="A22" s="15" t="s">
        <v>107</v>
      </c>
      <c r="B22" s="16">
        <v>40800000000</v>
      </c>
      <c r="C22" s="16">
        <v>35200000000</v>
      </c>
      <c r="D22" s="16">
        <v>30400000000</v>
      </c>
      <c r="E22" s="17" t="s">
        <v>108</v>
      </c>
    </row>
    <row r="23" spans="1:5" ht="18" customHeight="1">
      <c r="A23" s="15" t="s">
        <v>109</v>
      </c>
      <c r="B23" s="16">
        <v>13000000000</v>
      </c>
      <c r="C23" s="16">
        <v>11200000000</v>
      </c>
      <c r="D23" s="16">
        <v>9600000000</v>
      </c>
      <c r="E23" s="17" t="s">
        <v>110</v>
      </c>
    </row>
    <row r="24" spans="1:5" ht="18" customHeight="1">
      <c r="A24" s="15" t="s">
        <v>111</v>
      </c>
      <c r="B24" s="16">
        <v>9000000000</v>
      </c>
      <c r="C24" s="16">
        <v>7800000000</v>
      </c>
      <c r="D24" s="16">
        <v>6700000000</v>
      </c>
      <c r="E24" s="17" t="s">
        <v>112</v>
      </c>
    </row>
    <row r="25" spans="1:5" ht="18" customHeight="1">
      <c r="A25" s="15" t="s">
        <v>113</v>
      </c>
      <c r="B25" s="16">
        <v>4000000000</v>
      </c>
      <c r="C25" s="16">
        <v>3500000000</v>
      </c>
      <c r="D25" s="16">
        <v>3000000000</v>
      </c>
      <c r="E25" s="17" t="s">
        <v>114</v>
      </c>
    </row>
    <row r="26" spans="1:5" ht="18" customHeight="1">
      <c r="A26" s="15" t="s">
        <v>115</v>
      </c>
      <c r="B26" s="16">
        <v>1200000000</v>
      </c>
      <c r="C26" s="16">
        <v>1060000000</v>
      </c>
      <c r="D26" s="16">
        <v>930000000</v>
      </c>
      <c r="E26" s="17" t="s">
        <v>116</v>
      </c>
    </row>
    <row r="27" spans="1:5" ht="18" customHeight="1">
      <c r="A27" s="15" t="s">
        <v>117</v>
      </c>
      <c r="B27" s="16">
        <v>2000000000</v>
      </c>
      <c r="C27" s="16">
        <v>1750000000</v>
      </c>
      <c r="D27" s="16">
        <v>1520000000</v>
      </c>
      <c r="E27" s="17" t="s">
        <v>118</v>
      </c>
    </row>
    <row r="28" spans="1:5" ht="18" customHeight="1">
      <c r="A28" s="15" t="s">
        <v>119</v>
      </c>
      <c r="B28" s="16">
        <v>1500000000</v>
      </c>
      <c r="C28" s="16">
        <v>1340000000</v>
      </c>
      <c r="D28" s="16">
        <v>1180000000</v>
      </c>
      <c r="E28" s="17" t="s">
        <v>120</v>
      </c>
    </row>
    <row r="29" spans="1:5" ht="18" customHeight="1">
      <c r="A29" s="15" t="s">
        <v>121</v>
      </c>
      <c r="B29" s="16">
        <v>400000000</v>
      </c>
      <c r="C29" s="16">
        <v>350000000</v>
      </c>
      <c r="D29" s="16">
        <v>300000000</v>
      </c>
      <c r="E29" s="17"/>
    </row>
    <row r="30" spans="1:5" ht="21.75" customHeight="1">
      <c r="A30" s="21" t="s">
        <v>122</v>
      </c>
      <c r="B30" s="22">
        <f>SUM(B20:B21)+SUM(B23:B29)</f>
        <v>88400000000</v>
      </c>
      <c r="C30" s="22">
        <f>SUM(C20:C21)+SUM(C23:C29)</f>
        <v>76500000000</v>
      </c>
      <c r="D30" s="22">
        <f>SUM(D20:D21)+SUM(D23:D29)</f>
        <v>66030000000</v>
      </c>
      <c r="E30" s="23"/>
    </row>
    <row r="31" spans="1:5" ht="7.5" customHeight="1"/>
    <row r="32" spans="1:5" ht="21.75" customHeight="1">
      <c r="A32" s="119" t="s">
        <v>123</v>
      </c>
      <c r="B32" s="119"/>
      <c r="C32" s="119"/>
      <c r="D32" s="119"/>
      <c r="E32" s="119"/>
    </row>
    <row r="33" spans="1:5" ht="21.75" customHeight="1">
      <c r="A33" s="14" t="s">
        <v>124</v>
      </c>
      <c r="B33" s="14" t="s">
        <v>77</v>
      </c>
      <c r="C33" s="14" t="s">
        <v>78</v>
      </c>
      <c r="D33" s="14" t="s">
        <v>79</v>
      </c>
      <c r="E33" s="14" t="s">
        <v>80</v>
      </c>
    </row>
    <row r="34" spans="1:5" ht="18" customHeight="1">
      <c r="A34" s="15" t="s">
        <v>125</v>
      </c>
      <c r="B34" s="16">
        <v>20000000000</v>
      </c>
      <c r="C34" s="16">
        <v>17200000000</v>
      </c>
      <c r="D34" s="16">
        <v>14800000000</v>
      </c>
      <c r="E34" s="17" t="s">
        <v>126</v>
      </c>
    </row>
    <row r="35" spans="1:5" ht="18" customHeight="1">
      <c r="A35" s="15" t="s">
        <v>127</v>
      </c>
      <c r="B35" s="16">
        <v>14000000000</v>
      </c>
      <c r="C35" s="16">
        <v>12000000000</v>
      </c>
      <c r="D35" s="16">
        <v>10300000000</v>
      </c>
      <c r="E35" s="17" t="s">
        <v>128</v>
      </c>
    </row>
    <row r="36" spans="1:5" ht="18" customHeight="1">
      <c r="A36" s="15" t="s">
        <v>129</v>
      </c>
      <c r="B36" s="16">
        <v>7000000000</v>
      </c>
      <c r="C36" s="16">
        <v>6000000000</v>
      </c>
      <c r="D36" s="16">
        <v>5200000000</v>
      </c>
      <c r="E36" s="17" t="s">
        <v>130</v>
      </c>
    </row>
    <row r="37" spans="1:5" ht="18" customHeight="1">
      <c r="A37" s="15" t="s">
        <v>131</v>
      </c>
      <c r="B37" s="16">
        <v>2000000000</v>
      </c>
      <c r="C37" s="16">
        <v>1700000000</v>
      </c>
      <c r="D37" s="16">
        <v>1500000000</v>
      </c>
      <c r="E37" s="17"/>
    </row>
    <row r="38" spans="1:5" ht="18" customHeight="1">
      <c r="A38" s="15" t="s">
        <v>132</v>
      </c>
      <c r="B38" s="16">
        <v>102000000000</v>
      </c>
      <c r="C38" s="16">
        <v>91500000000</v>
      </c>
      <c r="D38" s="16">
        <v>81800000000</v>
      </c>
      <c r="E38" s="17" t="s">
        <v>133</v>
      </c>
    </row>
    <row r="39" spans="1:5" ht="18" customHeight="1">
      <c r="A39" s="15" t="s">
        <v>134</v>
      </c>
      <c r="B39" s="16">
        <v>42000000000</v>
      </c>
      <c r="C39" s="16">
        <v>36000000000</v>
      </c>
      <c r="D39" s="16">
        <v>30500000000</v>
      </c>
      <c r="E39" s="17" t="s">
        <v>135</v>
      </c>
    </row>
    <row r="40" spans="1:5" ht="18" customHeight="1">
      <c r="A40" s="24" t="s">
        <v>136</v>
      </c>
      <c r="B40" s="25">
        <f>SUM(B34:B39)</f>
        <v>187000000000</v>
      </c>
      <c r="C40" s="25">
        <f>SUM(C34:C39)</f>
        <v>164400000000</v>
      </c>
      <c r="D40" s="25">
        <f>SUM(D34:D39)</f>
        <v>144100000000</v>
      </c>
      <c r="E40" s="26" t="s">
        <v>137</v>
      </c>
    </row>
    <row r="41" spans="1:5" ht="18" customHeight="1">
      <c r="A41" s="15" t="s">
        <v>138</v>
      </c>
      <c r="B41" s="16">
        <v>18000000000</v>
      </c>
      <c r="C41" s="16">
        <v>15500000000</v>
      </c>
      <c r="D41" s="16">
        <v>13200000000</v>
      </c>
      <c r="E41" s="17" t="s">
        <v>139</v>
      </c>
    </row>
    <row r="42" spans="1:5" ht="18" customHeight="1">
      <c r="A42" s="15" t="s">
        <v>140</v>
      </c>
      <c r="B42" s="16">
        <v>30000000000</v>
      </c>
      <c r="C42" s="16">
        <v>27000000000</v>
      </c>
      <c r="D42" s="16">
        <v>24000000000</v>
      </c>
      <c r="E42" s="17" t="s">
        <v>141</v>
      </c>
    </row>
    <row r="43" spans="1:5" ht="18" customHeight="1">
      <c r="A43" s="15" t="s">
        <v>142</v>
      </c>
      <c r="B43" s="16">
        <v>45000000000</v>
      </c>
      <c r="C43" s="16">
        <v>38500000000</v>
      </c>
      <c r="D43" s="16">
        <v>32500000000</v>
      </c>
      <c r="E43" s="17" t="s">
        <v>143</v>
      </c>
    </row>
    <row r="44" spans="1:5" ht="18" customHeight="1">
      <c r="A44" s="15" t="s">
        <v>144</v>
      </c>
      <c r="B44" s="16">
        <v>6200000000</v>
      </c>
      <c r="C44" s="16">
        <v>5000000000</v>
      </c>
      <c r="D44" s="16">
        <v>3800000000</v>
      </c>
      <c r="E44" s="17" t="s">
        <v>145</v>
      </c>
    </row>
    <row r="45" spans="1:5" ht="18" customHeight="1">
      <c r="A45" s="15" t="s">
        <v>146</v>
      </c>
      <c r="B45" s="16">
        <v>78000000000</v>
      </c>
      <c r="C45" s="16">
        <v>67000000000</v>
      </c>
      <c r="D45" s="16">
        <v>57500000000</v>
      </c>
      <c r="E45" s="17"/>
    </row>
    <row r="46" spans="1:5" ht="18" customHeight="1">
      <c r="A46" s="15" t="s">
        <v>147</v>
      </c>
      <c r="B46" s="16">
        <v>2800000000</v>
      </c>
      <c r="C46" s="16">
        <v>2500000000</v>
      </c>
      <c r="D46" s="16">
        <v>2200000000</v>
      </c>
      <c r="E46" s="17" t="s">
        <v>148</v>
      </c>
    </row>
    <row r="47" spans="1:5" ht="18" customHeight="1">
      <c r="A47" s="15" t="s">
        <v>149</v>
      </c>
      <c r="B47" s="16">
        <v>58000000000</v>
      </c>
      <c r="C47" s="16">
        <v>50000000000</v>
      </c>
      <c r="D47" s="16">
        <v>43000000000</v>
      </c>
      <c r="E47" s="17"/>
    </row>
    <row r="48" spans="1:5" ht="18" customHeight="1">
      <c r="A48" s="15" t="s">
        <v>150</v>
      </c>
      <c r="B48" s="16">
        <v>22000000000</v>
      </c>
      <c r="C48" s="16">
        <v>19000000000</v>
      </c>
      <c r="D48" s="16">
        <v>16500000000</v>
      </c>
      <c r="E48" s="17"/>
    </row>
    <row r="49" spans="1:5" ht="18" customHeight="1">
      <c r="A49" s="18" t="s">
        <v>151</v>
      </c>
      <c r="B49" s="19">
        <f>B34+B35+B36+B37</f>
        <v>43000000000</v>
      </c>
      <c r="C49" s="19">
        <f>C34+C35+C36+C37</f>
        <v>36900000000</v>
      </c>
      <c r="D49" s="19">
        <f>D34+D35+D36+D37</f>
        <v>31800000000</v>
      </c>
      <c r="E49" s="20" t="s">
        <v>98</v>
      </c>
    </row>
    <row r="50" spans="1:5" ht="18" customHeight="1">
      <c r="A50" s="18" t="s">
        <v>152</v>
      </c>
      <c r="B50" s="19">
        <f>AVERAGE(B39,C39,D39)</f>
        <v>36166666666.666664</v>
      </c>
      <c r="C50" s="19" t="s">
        <v>153</v>
      </c>
      <c r="D50" s="19" t="s">
        <v>153</v>
      </c>
      <c r="E50" s="20" t="s">
        <v>154</v>
      </c>
    </row>
    <row r="51" spans="1:5" ht="7.5" customHeight="1"/>
    <row r="52" spans="1:5" ht="21.75" customHeight="1">
      <c r="A52" s="119" t="s">
        <v>155</v>
      </c>
      <c r="B52" s="119"/>
      <c r="C52" s="119"/>
      <c r="D52" s="119"/>
      <c r="E52" s="119"/>
    </row>
    <row r="53" spans="1:5" ht="21.75" customHeight="1">
      <c r="A53" s="14" t="s">
        <v>156</v>
      </c>
      <c r="B53" s="14" t="s">
        <v>157</v>
      </c>
      <c r="C53" s="14" t="s">
        <v>158</v>
      </c>
      <c r="D53" s="14" t="s">
        <v>159</v>
      </c>
      <c r="E53" s="14" t="s">
        <v>160</v>
      </c>
    </row>
    <row r="54" spans="1:5" ht="18" customHeight="1">
      <c r="A54" s="15" t="s">
        <v>21</v>
      </c>
      <c r="B54" s="16">
        <v>87000000000</v>
      </c>
      <c r="C54" s="27">
        <f>B16</f>
        <v>88800000000</v>
      </c>
      <c r="D54" s="28">
        <f t="shared" ref="D54:D59" si="0">C54-B54</f>
        <v>1800000000</v>
      </c>
      <c r="E54" s="29">
        <f t="shared" ref="E54:E59" si="1">IF(B54=0,0,(C54-B54)/B54)</f>
        <v>2.0689655172413793E-2</v>
      </c>
    </row>
    <row r="55" spans="1:5" ht="18" customHeight="1">
      <c r="A55" s="15" t="s">
        <v>161</v>
      </c>
      <c r="B55" s="16">
        <v>48800000000</v>
      </c>
      <c r="C55" s="27">
        <f>B20</f>
        <v>51000000000</v>
      </c>
      <c r="D55" s="28">
        <f t="shared" si="0"/>
        <v>2200000000</v>
      </c>
      <c r="E55" s="29">
        <f t="shared" si="1"/>
        <v>4.5081967213114756E-2</v>
      </c>
    </row>
    <row r="56" spans="1:5" ht="18" customHeight="1">
      <c r="A56" s="15" t="s">
        <v>162</v>
      </c>
      <c r="B56" s="16">
        <v>12400000000</v>
      </c>
      <c r="C56" s="27">
        <f>B23</f>
        <v>13000000000</v>
      </c>
      <c r="D56" s="28">
        <f t="shared" si="0"/>
        <v>600000000</v>
      </c>
      <c r="E56" s="29">
        <f t="shared" si="1"/>
        <v>4.8387096774193547E-2</v>
      </c>
    </row>
    <row r="57" spans="1:5" ht="18" customHeight="1">
      <c r="A57" s="15" t="s">
        <v>163</v>
      </c>
      <c r="B57" s="16">
        <v>12300000000</v>
      </c>
      <c r="C57" s="27">
        <f>B24+B25</f>
        <v>13000000000</v>
      </c>
      <c r="D57" s="28">
        <f t="shared" si="0"/>
        <v>700000000</v>
      </c>
      <c r="E57" s="29">
        <f t="shared" si="1"/>
        <v>5.6910569105691054E-2</v>
      </c>
    </row>
    <row r="58" spans="1:5" ht="18" customHeight="1">
      <c r="A58" s="15" t="s">
        <v>164</v>
      </c>
      <c r="B58" s="16">
        <v>6050000000</v>
      </c>
      <c r="C58" s="27">
        <f>B21</f>
        <v>6300000000</v>
      </c>
      <c r="D58" s="28">
        <f t="shared" si="0"/>
        <v>250000000</v>
      </c>
      <c r="E58" s="29">
        <f t="shared" si="1"/>
        <v>4.1322314049586778E-2</v>
      </c>
    </row>
    <row r="59" spans="1:5" ht="18" customHeight="1">
      <c r="A59" s="15" t="s">
        <v>165</v>
      </c>
      <c r="B59" s="16">
        <v>84800000000</v>
      </c>
      <c r="C59" s="27">
        <f>B30</f>
        <v>88400000000</v>
      </c>
      <c r="D59" s="28">
        <f t="shared" si="0"/>
        <v>3600000000</v>
      </c>
      <c r="E59" s="29">
        <f t="shared" si="1"/>
        <v>4.2452830188679243E-2</v>
      </c>
    </row>
    <row r="60" spans="1:5" ht="19.5" customHeight="1">
      <c r="A60" s="30" t="s">
        <v>166</v>
      </c>
      <c r="B60" s="31"/>
      <c r="C60" s="31"/>
      <c r="D60" s="31"/>
      <c r="E60" s="32">
        <f>AVERAGE(ABS(E54),ABS(E55),ABS(E56),ABS(E57),ABS(E58),ABS(E59))</f>
        <v>4.2474072083946525E-2</v>
      </c>
    </row>
    <row r="61" spans="1:5" ht="7.5" customHeight="1"/>
    <row r="62" spans="1:5" ht="21.75" customHeight="1">
      <c r="A62" s="119" t="s">
        <v>167</v>
      </c>
      <c r="B62" s="119"/>
      <c r="C62" s="119"/>
      <c r="D62" s="119"/>
      <c r="E62" s="119"/>
    </row>
    <row r="63" spans="1:5" ht="21.75" customHeight="1">
      <c r="A63" s="33" t="s">
        <v>168</v>
      </c>
      <c r="B63" s="33" t="s">
        <v>169</v>
      </c>
      <c r="C63" s="33" t="s">
        <v>170</v>
      </c>
      <c r="D63" s="33" t="s">
        <v>171</v>
      </c>
      <c r="E63" s="33" t="s">
        <v>172</v>
      </c>
    </row>
    <row r="64" spans="1:5" ht="18" customHeight="1">
      <c r="A64" s="34" t="s">
        <v>173</v>
      </c>
      <c r="B64" s="16">
        <v>28050000000</v>
      </c>
      <c r="C64" s="35">
        <v>0.5</v>
      </c>
      <c r="D64" s="28">
        <f>$B$20*C64</f>
        <v>25500000000</v>
      </c>
      <c r="E64" s="29">
        <f>IF(SUM($B$64:$B$66)=0,0,B64/SUM($B$64:$B$66))</f>
        <v>0.55000000000000004</v>
      </c>
    </row>
    <row r="65" spans="1:5" ht="18" customHeight="1">
      <c r="A65" s="34" t="s">
        <v>174</v>
      </c>
      <c r="B65" s="16">
        <v>15300000000</v>
      </c>
      <c r="C65" s="35">
        <v>0.3</v>
      </c>
      <c r="D65" s="28">
        <f>$B$20*C65</f>
        <v>15300000000</v>
      </c>
      <c r="E65" s="29">
        <f>IF(SUM($B$64:$B$66)=0,0,B65/SUM($B$64:$B$66))</f>
        <v>0.3</v>
      </c>
    </row>
    <row r="66" spans="1:5" ht="18" customHeight="1">
      <c r="A66" s="34" t="s">
        <v>175</v>
      </c>
      <c r="B66" s="16">
        <v>7650000000</v>
      </c>
      <c r="C66" s="35">
        <v>0.2</v>
      </c>
      <c r="D66" s="28">
        <f>$B$20*C66</f>
        <v>10200000000</v>
      </c>
      <c r="E66" s="29">
        <f>IF(SUM($B$64:$B$66)=0,0,B66/SUM($B$64:$B$66))</f>
        <v>0.15</v>
      </c>
    </row>
    <row r="67" spans="1:5" ht="21.75" customHeight="1">
      <c r="A67" s="21" t="s">
        <v>176</v>
      </c>
      <c r="B67" s="22">
        <f>SUM(B64:B66)</f>
        <v>51000000000</v>
      </c>
      <c r="C67" s="22">
        <f>SUM(C64:C66)</f>
        <v>1</v>
      </c>
      <c r="D67" s="22">
        <f>SUM(D64:D66)</f>
        <v>51000000000</v>
      </c>
      <c r="E67" s="36">
        <f>SUM(E64:E66)</f>
        <v>1</v>
      </c>
    </row>
    <row r="68" spans="1:5" ht="7.5" customHeight="1"/>
    <row r="69" spans="1:5" ht="21.75" customHeight="1">
      <c r="A69" s="119" t="s">
        <v>177</v>
      </c>
      <c r="B69" s="119"/>
      <c r="C69" s="119"/>
      <c r="D69" s="119"/>
      <c r="E69" s="119"/>
    </row>
    <row r="70" spans="1:5" ht="21.75" customHeight="1">
      <c r="A70" s="14" t="s">
        <v>178</v>
      </c>
      <c r="B70" s="14" t="s">
        <v>179</v>
      </c>
      <c r="C70" s="14" t="s">
        <v>180</v>
      </c>
      <c r="D70" s="14" t="s">
        <v>181</v>
      </c>
      <c r="E70" s="14" t="s">
        <v>80</v>
      </c>
    </row>
    <row r="71" spans="1:5" ht="18" customHeight="1">
      <c r="A71" s="15" t="s">
        <v>182</v>
      </c>
      <c r="B71" s="16">
        <v>4200</v>
      </c>
      <c r="C71" s="16">
        <v>3750</v>
      </c>
      <c r="D71" s="16">
        <v>3350</v>
      </c>
      <c r="E71" s="17" t="s">
        <v>183</v>
      </c>
    </row>
    <row r="72" spans="1:5" ht="18" customHeight="1">
      <c r="A72" s="15" t="s">
        <v>184</v>
      </c>
      <c r="B72" s="16">
        <v>230</v>
      </c>
      <c r="C72" s="16">
        <v>210</v>
      </c>
      <c r="D72" s="16">
        <v>192</v>
      </c>
      <c r="E72" s="17" t="s">
        <v>185</v>
      </c>
    </row>
    <row r="73" spans="1:5" ht="18" customHeight="1">
      <c r="A73" s="15" t="s">
        <v>186</v>
      </c>
      <c r="B73" s="16">
        <v>16800000000</v>
      </c>
      <c r="C73" s="16">
        <v>15000000000</v>
      </c>
      <c r="D73" s="16">
        <v>13400000000</v>
      </c>
      <c r="E73" s="17" t="s">
        <v>187</v>
      </c>
    </row>
    <row r="74" spans="1:5" ht="18" customHeight="1">
      <c r="A74" s="15" t="s">
        <v>188</v>
      </c>
      <c r="B74" s="16">
        <v>2100000000</v>
      </c>
      <c r="C74" s="16">
        <v>1800000000</v>
      </c>
      <c r="D74" s="16">
        <v>1520000000</v>
      </c>
      <c r="E74" s="17" t="s">
        <v>189</v>
      </c>
    </row>
    <row r="75" spans="1:5" ht="18" customHeight="1">
      <c r="A75" s="15" t="s">
        <v>190</v>
      </c>
      <c r="B75" s="16">
        <v>4200000000</v>
      </c>
      <c r="C75" s="16">
        <v>3600000000</v>
      </c>
      <c r="D75" s="16">
        <v>3050000000</v>
      </c>
      <c r="E75" s="17" t="s">
        <v>191</v>
      </c>
    </row>
    <row r="76" spans="1:5" ht="18" customHeight="1">
      <c r="A76" s="15" t="s">
        <v>192</v>
      </c>
      <c r="B76" s="16">
        <v>3200000000</v>
      </c>
      <c r="C76" s="16">
        <v>2700000000</v>
      </c>
      <c r="D76" s="16">
        <v>2300000000</v>
      </c>
      <c r="E76" s="17" t="s">
        <v>193</v>
      </c>
    </row>
    <row r="77" spans="1:5" ht="18" customHeight="1">
      <c r="A77" s="24" t="s">
        <v>194</v>
      </c>
      <c r="B77" s="25">
        <f>B16-B30+B27+B28</f>
        <v>3900000000</v>
      </c>
      <c r="C77" s="25">
        <f>C16-C30+C27+C28</f>
        <v>5790000000</v>
      </c>
      <c r="D77" s="25">
        <f>D16-D30+D27+D28</f>
        <v>5670000000</v>
      </c>
      <c r="E77" s="20" t="s">
        <v>195</v>
      </c>
    </row>
    <row r="78" spans="1:5" ht="18" customHeight="1">
      <c r="A78" s="15" t="s">
        <v>196</v>
      </c>
      <c r="B78" s="16">
        <v>1500000000</v>
      </c>
      <c r="C78" s="16">
        <v>1340000000</v>
      </c>
      <c r="D78" s="16">
        <v>1180000000</v>
      </c>
      <c r="E78" s="17" t="s">
        <v>197</v>
      </c>
    </row>
    <row r="79" spans="1:5" ht="7.5" customHeight="1"/>
    <row r="80" spans="1:5" ht="18" customHeight="1">
      <c r="A80" s="120" t="s">
        <v>198</v>
      </c>
      <c r="B80" s="120"/>
      <c r="C80" s="120"/>
      <c r="D80" s="120"/>
      <c r="E80" s="120"/>
    </row>
  </sheetData>
  <mergeCells count="9">
    <mergeCell ref="A52:E52"/>
    <mergeCell ref="A62:E62"/>
    <mergeCell ref="A69:E69"/>
    <mergeCell ref="A80:E80"/>
    <mergeCell ref="A1:E1"/>
    <mergeCell ref="A2:E2"/>
    <mergeCell ref="A4:E4"/>
    <mergeCell ref="A18:E18"/>
    <mergeCell ref="A32:E3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2"/>
  <sheetViews>
    <sheetView zoomScaleNormal="100" workbookViewId="0">
      <selection activeCell="B28" sqref="B28"/>
    </sheetView>
  </sheetViews>
  <sheetFormatPr defaultColWidth="8.7109375" defaultRowHeight="15"/>
  <cols>
    <col min="1" max="1" width="6" customWidth="1"/>
    <col min="2" max="2" width="34" customWidth="1"/>
    <col min="3" max="3" width="52" customWidth="1"/>
    <col min="4" max="4" width="38" customWidth="1"/>
    <col min="5" max="7" width="14" customWidth="1"/>
    <col min="8" max="9" width="16" customWidth="1"/>
    <col min="10" max="10" width="13" customWidth="1"/>
    <col min="11" max="11" width="22" customWidth="1"/>
    <col min="12" max="12" width="58" customWidth="1"/>
  </cols>
  <sheetData>
    <row r="1" spans="1:12" ht="25.5" customHeight="1">
      <c r="A1" s="126" t="s">
        <v>199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</row>
    <row r="2" spans="1:12" ht="15.75" customHeight="1">
      <c r="A2" s="127" t="s">
        <v>200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</row>
    <row r="3" spans="1:12" ht="21.75" customHeight="1">
      <c r="A3" s="126" t="s">
        <v>201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</row>
    <row r="4" spans="1:12" ht="21.75" customHeight="1">
      <c r="A4" s="14" t="s">
        <v>202</v>
      </c>
      <c r="B4" s="14" t="s">
        <v>203</v>
      </c>
      <c r="C4" s="14" t="s">
        <v>204</v>
      </c>
      <c r="D4" s="14" t="s">
        <v>205</v>
      </c>
      <c r="E4" s="14" t="s">
        <v>179</v>
      </c>
      <c r="F4" s="14" t="s">
        <v>180</v>
      </c>
      <c r="G4" s="14" t="s">
        <v>181</v>
      </c>
      <c r="H4" s="14" t="s">
        <v>206</v>
      </c>
      <c r="I4" s="14" t="s">
        <v>207</v>
      </c>
      <c r="J4" s="14" t="s">
        <v>208</v>
      </c>
      <c r="K4" s="14" t="s">
        <v>209</v>
      </c>
      <c r="L4" s="14" t="s">
        <v>80</v>
      </c>
    </row>
    <row r="5" spans="1:12" ht="19.5" customHeight="1">
      <c r="A5" s="37" t="s">
        <v>210</v>
      </c>
      <c r="B5" s="38" t="s">
        <v>211</v>
      </c>
      <c r="C5" s="39" t="s">
        <v>212</v>
      </c>
      <c r="D5" s="17" t="s">
        <v>213</v>
      </c>
      <c r="E5" s="40">
        <f>'INPUT DATA'!B43/'INPUT DATA'!B30</f>
        <v>0.50904977375565608</v>
      </c>
      <c r="F5" s="41">
        <f>'INPUT DATA'!C43/'INPUT DATA'!C30</f>
        <v>0.50326797385620914</v>
      </c>
      <c r="G5" s="41">
        <f>'INPUT DATA'!D43/'INPUT DATA'!D30</f>
        <v>0.49220051491746175</v>
      </c>
      <c r="H5" s="42">
        <v>0.4</v>
      </c>
      <c r="I5" s="43" t="s">
        <v>214</v>
      </c>
      <c r="J5" s="44">
        <f>IF(E5&gt;=H5,100,IF(E5&lt;=0.17,0,(E5-0.17)/(0.4-0.17)*100))</f>
        <v>100</v>
      </c>
      <c r="K5" s="45" t="str">
        <f>IF(E5&gt;0.4,"SEHAT ✓",IF(E5&gt;=0.17,"PERHATIAN","BERISIKO ✗"))</f>
        <v>SEHAT ✓</v>
      </c>
      <c r="L5" s="46" t="s">
        <v>215</v>
      </c>
    </row>
    <row r="6" spans="1:12" ht="19.5" customHeight="1">
      <c r="A6" s="37" t="s">
        <v>216</v>
      </c>
      <c r="B6" s="38" t="s">
        <v>217</v>
      </c>
      <c r="C6" s="39" t="s">
        <v>218</v>
      </c>
      <c r="D6" s="17" t="s">
        <v>219</v>
      </c>
      <c r="E6" s="40">
        <f>'INPUT DATA'!B43/'INPUT DATA'!B42</f>
        <v>1.5</v>
      </c>
      <c r="F6" s="41">
        <f>'INPUT DATA'!C43/'INPUT DATA'!C42</f>
        <v>1.4259259259259258</v>
      </c>
      <c r="G6" s="41">
        <f>'INPUT DATA'!D43/'INPUT DATA'!D42</f>
        <v>1.3541666666666667</v>
      </c>
      <c r="H6" s="42">
        <v>0.35</v>
      </c>
      <c r="I6" s="43" t="s">
        <v>220</v>
      </c>
      <c r="J6" s="44">
        <f>IF(E6&gt;=H6,100,IF(E6&lt;=0.2,0,(E6-0.2)/(0.35-0.2)*100))</f>
        <v>100</v>
      </c>
      <c r="K6" s="45" t="str">
        <f>IF(E6&gt;0.35,"SEHAT ✓",IF(E6&gt;=0.2,"PERHATIAN","BERISIKO ✗"))</f>
        <v>SEHAT ✓</v>
      </c>
      <c r="L6" s="46" t="s">
        <v>221</v>
      </c>
    </row>
    <row r="7" spans="1:12" ht="19.5" customHeight="1">
      <c r="A7" s="37" t="s">
        <v>222</v>
      </c>
      <c r="B7" s="38" t="s">
        <v>223</v>
      </c>
      <c r="C7" s="39" t="s">
        <v>224</v>
      </c>
      <c r="D7" s="17" t="s">
        <v>225</v>
      </c>
      <c r="E7" s="40">
        <f>'INPUT DATA'!B44/'INPUT DATA'!B45</f>
        <v>7.9487179487179482E-2</v>
      </c>
      <c r="F7" s="41">
        <f>'INPUT DATA'!C44/'INPUT DATA'!C45</f>
        <v>7.4626865671641784E-2</v>
      </c>
      <c r="G7" s="41">
        <f>'INPUT DATA'!D44/'INPUT DATA'!D45</f>
        <v>6.6086956521739126E-2</v>
      </c>
      <c r="H7" s="42">
        <v>0.02</v>
      </c>
      <c r="I7" s="43" t="s">
        <v>226</v>
      </c>
      <c r="J7" s="44">
        <f>IF(E7&gt;=H7,100,IF(E7&lt;=0,0,(E7-0)/(0.2-0)*100))</f>
        <v>100</v>
      </c>
      <c r="K7" s="45" t="str">
        <f>IF(E7&gt;H7,"SEHAT ✓",IF(E7&gt;=0,"PERHATIAN","BERISIKO ✗"))</f>
        <v>SEHAT ✓</v>
      </c>
      <c r="L7" s="46" t="s">
        <v>227</v>
      </c>
    </row>
    <row r="8" spans="1:12" ht="19.5" customHeight="1">
      <c r="A8" s="37" t="s">
        <v>228</v>
      </c>
      <c r="B8" s="38" t="s">
        <v>229</v>
      </c>
      <c r="C8" s="39" t="s">
        <v>230</v>
      </c>
      <c r="D8" s="17" t="s">
        <v>231</v>
      </c>
      <c r="E8" s="40">
        <f>('INPUT DATA'!B16-'INPUT DATA'!B30)/'INPUT DATA'!B16</f>
        <v>4.5045045045045045E-3</v>
      </c>
      <c r="F8" s="41">
        <f>('INPUT DATA'!C16-'INPUT DATA'!C30)/'INPUT DATA'!C16</f>
        <v>3.4090909090909088E-2</v>
      </c>
      <c r="G8" s="41">
        <f>('INPUT DATA'!D16-'INPUT DATA'!D30)/'INPUT DATA'!D16</f>
        <v>4.3043478260869565E-2</v>
      </c>
      <c r="H8" s="42">
        <v>0.02</v>
      </c>
      <c r="I8" s="43" t="s">
        <v>226</v>
      </c>
      <c r="J8" s="44">
        <f>IF(E8&gt;=H8,100,IF(E8&lt;=0,0,(E8-0)/(0.2-0)*100))</f>
        <v>2.2522522522522523</v>
      </c>
      <c r="K8" s="45" t="str">
        <f>IF(E8&gt;H8,"SEHAT ✓",IF(E8&gt;=0,"PERHATIAN","BERISIKO ✗"))</f>
        <v>PERHATIAN</v>
      </c>
      <c r="L8" s="46" t="s">
        <v>232</v>
      </c>
    </row>
    <row r="9" spans="1:12" ht="21.75" customHeight="1">
      <c r="A9" s="128" t="s">
        <v>233</v>
      </c>
      <c r="B9" s="128"/>
      <c r="C9" s="128"/>
      <c r="D9" s="128"/>
      <c r="E9" s="128"/>
      <c r="F9" s="128"/>
      <c r="G9" s="128"/>
      <c r="H9" s="128"/>
      <c r="I9" s="128"/>
      <c r="J9" s="128"/>
      <c r="K9" s="128"/>
      <c r="L9" s="128"/>
    </row>
    <row r="10" spans="1:12" ht="21.75" customHeight="1">
      <c r="A10" s="14" t="s">
        <v>202</v>
      </c>
      <c r="B10" s="14" t="s">
        <v>203</v>
      </c>
      <c r="C10" s="14" t="s">
        <v>204</v>
      </c>
      <c r="D10" s="14" t="s">
        <v>205</v>
      </c>
      <c r="E10" s="14" t="s">
        <v>179</v>
      </c>
      <c r="F10" s="14" t="s">
        <v>180</v>
      </c>
      <c r="G10" s="14" t="s">
        <v>181</v>
      </c>
      <c r="H10" s="14" t="s">
        <v>206</v>
      </c>
      <c r="I10" s="14" t="s">
        <v>207</v>
      </c>
      <c r="J10" s="14" t="s">
        <v>208</v>
      </c>
      <c r="K10" s="14" t="s">
        <v>209</v>
      </c>
      <c r="L10" s="14" t="s">
        <v>80</v>
      </c>
    </row>
    <row r="11" spans="1:12" ht="19.5" customHeight="1">
      <c r="A11" s="37" t="s">
        <v>234</v>
      </c>
      <c r="B11" s="38" t="s">
        <v>235</v>
      </c>
      <c r="C11" s="39" t="s">
        <v>236</v>
      </c>
      <c r="D11" s="17" t="s">
        <v>237</v>
      </c>
      <c r="E11" s="47">
        <f>'INPUT DATA'!B47/'INPUT DATA'!B48</f>
        <v>2.6363636363636362</v>
      </c>
      <c r="F11" s="48">
        <f>'INPUT DATA'!C47/'INPUT DATA'!C48</f>
        <v>2.6315789473684212</v>
      </c>
      <c r="G11" s="48">
        <f>'INPUT DATA'!D47/'INPUT DATA'!D48</f>
        <v>2.606060606060606</v>
      </c>
      <c r="H11" s="42">
        <v>1.25</v>
      </c>
      <c r="I11" s="43" t="s">
        <v>210</v>
      </c>
      <c r="J11" s="44">
        <f>IF(E11&gt;=H11,100,IF(E11&lt;=1,0,(E11-1)/(H11-1)*100))</f>
        <v>100</v>
      </c>
      <c r="K11" s="45" t="str">
        <f>IF(E11&gt;=1.25,"SEHAT ✓",IF(E11&gt;=1,"PERHATIAN","BERISIKO ✗"))</f>
        <v>SEHAT ✓</v>
      </c>
      <c r="L11" s="46" t="s">
        <v>238</v>
      </c>
    </row>
    <row r="12" spans="1:12" ht="19.5" customHeight="1">
      <c r="A12" s="37" t="s">
        <v>239</v>
      </c>
      <c r="B12" s="38" t="s">
        <v>240</v>
      </c>
      <c r="C12" s="39" t="s">
        <v>241</v>
      </c>
      <c r="D12" s="17" t="s">
        <v>242</v>
      </c>
      <c r="E12" s="47">
        <f>('INPUT DATA'!B34+'INPUT DATA'!B35)/('INPUT DATA'!B30/365)</f>
        <v>140.38461538461539</v>
      </c>
      <c r="F12" s="48">
        <f>('INPUT DATA'!C34+'INPUT DATA'!C35)/('INPUT DATA'!C30/365)</f>
        <v>139.3202614379085</v>
      </c>
      <c r="G12" s="48">
        <f>('INPUT DATA'!D34+'INPUT DATA'!D35)/('INPUT DATA'!D30/365)</f>
        <v>138.74753899742541</v>
      </c>
      <c r="H12" s="42">
        <v>120</v>
      </c>
      <c r="I12" s="43" t="s">
        <v>243</v>
      </c>
      <c r="J12" s="44">
        <f>IF(E12&gt;=H12,100,IF(E12&lt;=60,0,(E12-60)/(H12-60)*100))</f>
        <v>100</v>
      </c>
      <c r="K12" s="45" t="str">
        <f>IF(E12&gt;=120,"SEHAT ✓",IF(E12&gt;=60,"PERHATIAN","BERISIKO ✗"))</f>
        <v>SEHAT ✓</v>
      </c>
      <c r="L12" s="46" t="s">
        <v>244</v>
      </c>
    </row>
    <row r="13" spans="1:12" ht="19.5" customHeight="1">
      <c r="A13" s="37" t="s">
        <v>245</v>
      </c>
      <c r="B13" s="38" t="s">
        <v>246</v>
      </c>
      <c r="C13" s="39" t="s">
        <v>247</v>
      </c>
      <c r="D13" s="17" t="s">
        <v>248</v>
      </c>
      <c r="E13" s="40">
        <f>'INPUT DATA'!B34/'INPUT DATA'!B42</f>
        <v>0.66666666666666663</v>
      </c>
      <c r="F13" s="41">
        <f>'INPUT DATA'!C34/'INPUT DATA'!C42</f>
        <v>0.63703703703703707</v>
      </c>
      <c r="G13" s="41">
        <f>'INPUT DATA'!D34/'INPUT DATA'!D42</f>
        <v>0.6166666666666667</v>
      </c>
      <c r="H13" s="42">
        <v>0.25</v>
      </c>
      <c r="I13" s="43" t="s">
        <v>249</v>
      </c>
      <c r="J13" s="44">
        <f>IF(E13&gt;=H13,100,IF(E13&lt;=0.15,0,(E13-0.15)/(H13-0.15)*100))</f>
        <v>100</v>
      </c>
      <c r="K13" s="45" t="str">
        <f>IF(E13&gt;=0.25,"SEHAT ✓",IF(E13&gt;=0.15,"PERHATIAN","BERISIKO ✗"))</f>
        <v>SEHAT ✓</v>
      </c>
      <c r="L13" s="46" t="s">
        <v>250</v>
      </c>
    </row>
    <row r="14" spans="1:12" ht="19.5" customHeight="1">
      <c r="A14" s="37" t="s">
        <v>56</v>
      </c>
      <c r="B14" s="49" t="s">
        <v>251</v>
      </c>
      <c r="C14" s="50" t="s">
        <v>252</v>
      </c>
      <c r="D14" s="17" t="s">
        <v>253</v>
      </c>
      <c r="E14" s="47">
        <f>'INPUT DATA'!B49/'INPUT DATA'!B41</f>
        <v>2.3888888888888888</v>
      </c>
      <c r="F14" s="48">
        <f>'INPUT DATA'!C49/'INPUT DATA'!C41</f>
        <v>2.3806451612903228</v>
      </c>
      <c r="G14" s="48">
        <f>'INPUT DATA'!D49/'INPUT DATA'!D41</f>
        <v>2.4090909090909092</v>
      </c>
      <c r="H14" s="51" t="s">
        <v>254</v>
      </c>
      <c r="I14" s="43" t="s">
        <v>254</v>
      </c>
      <c r="J14" s="44">
        <f>IF(E14&gt;=1,100,IF(E14&lt;=0,0,(E14/1)*100))</f>
        <v>100</v>
      </c>
      <c r="K14" s="45" t="str">
        <f>IF(E14&gt;=1,"YA TERPENUHI ✓","BELUM TERPENUHI ✗")</f>
        <v>YA TERPENUHI ✓</v>
      </c>
      <c r="L14" s="46" t="s">
        <v>255</v>
      </c>
    </row>
    <row r="15" spans="1:12" ht="21.75" customHeight="1">
      <c r="A15" s="125" t="s">
        <v>256</v>
      </c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</row>
    <row r="16" spans="1:12" ht="21.75" customHeight="1">
      <c r="A16" s="14" t="s">
        <v>202</v>
      </c>
      <c r="B16" s="14" t="s">
        <v>203</v>
      </c>
      <c r="C16" s="14" t="s">
        <v>204</v>
      </c>
      <c r="D16" s="14" t="s">
        <v>205</v>
      </c>
      <c r="E16" s="14" t="s">
        <v>179</v>
      </c>
      <c r="F16" s="14" t="s">
        <v>180</v>
      </c>
      <c r="G16" s="14" t="s">
        <v>181</v>
      </c>
      <c r="H16" s="14" t="s">
        <v>206</v>
      </c>
      <c r="I16" s="14" t="s">
        <v>207</v>
      </c>
      <c r="J16" s="14" t="s">
        <v>208</v>
      </c>
      <c r="K16" s="14" t="s">
        <v>209</v>
      </c>
      <c r="L16" s="14" t="s">
        <v>80</v>
      </c>
    </row>
    <row r="17" spans="1:12" ht="19.5" customHeight="1">
      <c r="A17" s="37" t="s">
        <v>257</v>
      </c>
      <c r="B17" s="38" t="s">
        <v>23</v>
      </c>
      <c r="C17" s="39" t="s">
        <v>230</v>
      </c>
      <c r="D17" s="17" t="s">
        <v>231</v>
      </c>
      <c r="E17" s="40">
        <f>('INPUT DATA'!B16-'INPUT DATA'!B30)/'INPUT DATA'!B16</f>
        <v>4.5045045045045045E-3</v>
      </c>
      <c r="F17" s="41">
        <f>('INPUT DATA'!C16-'INPUT DATA'!C30)/'INPUT DATA'!C16</f>
        <v>3.4090909090909088E-2</v>
      </c>
      <c r="G17" s="41">
        <f>('INPUT DATA'!D16-'INPUT DATA'!D30)/'INPUT DATA'!D16</f>
        <v>4.3043478260869565E-2</v>
      </c>
      <c r="H17" s="42">
        <v>0.04</v>
      </c>
      <c r="I17" s="43" t="s">
        <v>258</v>
      </c>
      <c r="J17" s="44">
        <f>IF(E17&gt;=H17,100,IF(E17&lt;=0,0,(E17/H17)*100))</f>
        <v>11.261261261261261</v>
      </c>
      <c r="K17" s="45" t="str">
        <f>IF(E17&gt;=H17,"SEHAT ✓",IF(E17&gt;=0,"PERHATIAN","BERISIKO ✗"))</f>
        <v>PERHATIAN</v>
      </c>
      <c r="L17" s="46" t="s">
        <v>259</v>
      </c>
    </row>
    <row r="18" spans="1:12" ht="19.5" customHeight="1">
      <c r="A18" s="37" t="s">
        <v>260</v>
      </c>
      <c r="B18" s="38" t="s">
        <v>261</v>
      </c>
      <c r="C18" s="39" t="s">
        <v>262</v>
      </c>
      <c r="D18" s="17" t="s">
        <v>263</v>
      </c>
      <c r="E18" s="40">
        <f>'INPUT DATA'!B21/'INPUT DATA'!B30</f>
        <v>7.1266968325791852E-2</v>
      </c>
      <c r="F18" s="41">
        <f>'INPUT DATA'!C21/'INPUT DATA'!C30</f>
        <v>7.1895424836601302E-2</v>
      </c>
      <c r="G18" s="41">
        <f>'INPUT DATA'!D21/'INPUT DATA'!D30</f>
        <v>7.2694229895502047E-2</v>
      </c>
      <c r="H18" s="42">
        <v>0.15</v>
      </c>
      <c r="I18" s="43" t="s">
        <v>264</v>
      </c>
      <c r="J18" s="44">
        <f>IF(E18&lt;=H18,100,0)</f>
        <v>100</v>
      </c>
      <c r="K18" s="45" t="str">
        <f>IF(E18&lt;=H18,"SEHAT ✓",IF(E18&gt;H18,"PERHATIAN","BERISIKO ✗"))</f>
        <v>SEHAT ✓</v>
      </c>
      <c r="L18" s="46" t="s">
        <v>265</v>
      </c>
    </row>
    <row r="19" spans="1:12" ht="19.5" customHeight="1">
      <c r="A19" s="37" t="s">
        <v>266</v>
      </c>
      <c r="B19" s="38" t="s">
        <v>267</v>
      </c>
      <c r="C19" s="39" t="s">
        <v>268</v>
      </c>
      <c r="D19" s="17" t="s">
        <v>269</v>
      </c>
      <c r="E19" s="40">
        <f>'INPUT DATA'!B14/'INPUT DATA'!B16</f>
        <v>0.56756756756756754</v>
      </c>
      <c r="F19" s="41">
        <f>'INPUT DATA'!C14/'INPUT DATA'!C16</f>
        <v>0.56818181818181823</v>
      </c>
      <c r="G19" s="41">
        <f>'INPUT DATA'!D14/'INPUT DATA'!D16</f>
        <v>0.58260869565217388</v>
      </c>
      <c r="H19" s="42">
        <v>0.5</v>
      </c>
      <c r="I19" s="43" t="s">
        <v>270</v>
      </c>
      <c r="J19" s="44">
        <f>IF(E19&lt;=H19,100,IF(E19&gt;=0.7,0,(E19-0.7)/(H19-0.7)*100))</f>
        <v>66.21621621621621</v>
      </c>
      <c r="K19" s="45" t="str">
        <f>IF(E19&lt;0.5,"RISIKO RENDAH ✓",IF(E19&lt;0.7,"RISIKO SEDANG","RISIKO TINGGI ✗"))</f>
        <v>RISIKO SEDANG</v>
      </c>
      <c r="L19" s="46" t="s">
        <v>271</v>
      </c>
    </row>
    <row r="20" spans="1:12" ht="19.5" customHeight="1">
      <c r="A20" s="37" t="s">
        <v>272</v>
      </c>
      <c r="B20" s="38" t="s">
        <v>273</v>
      </c>
      <c r="C20" s="39" t="s">
        <v>274</v>
      </c>
      <c r="D20" s="17" t="s">
        <v>275</v>
      </c>
      <c r="E20" s="52">
        <f>'INPUT DATA'!B30/'INPUT DATA'!B71</f>
        <v>21047619.047619049</v>
      </c>
      <c r="F20" s="53">
        <f>'INPUT DATA'!C30/'INPUT DATA'!C71</f>
        <v>20400000</v>
      </c>
      <c r="G20" s="53">
        <f>'INPUT DATA'!D30/'INPUT DATA'!D71</f>
        <v>19710447.761194032</v>
      </c>
      <c r="H20" s="42" t="s">
        <v>276</v>
      </c>
      <c r="I20" s="43" t="s">
        <v>277</v>
      </c>
      <c r="J20" s="44"/>
      <c r="K20" s="45" t="s">
        <v>278</v>
      </c>
      <c r="L20" s="46" t="s">
        <v>279</v>
      </c>
    </row>
    <row r="21" spans="1:12" ht="19.5" customHeight="1">
      <c r="A21" s="37" t="s">
        <v>35</v>
      </c>
      <c r="B21" s="49" t="s">
        <v>280</v>
      </c>
      <c r="C21" s="50" t="s">
        <v>281</v>
      </c>
      <c r="D21" s="17" t="s">
        <v>282</v>
      </c>
      <c r="E21" s="40">
        <f>'INPUT DATA'!B20/'INPUT DATA'!B30</f>
        <v>0.57692307692307687</v>
      </c>
      <c r="F21" s="41">
        <f>'INPUT DATA'!C20/'INPUT DATA'!C30</f>
        <v>0.57516339869281041</v>
      </c>
      <c r="G21" s="41">
        <f>'INPUT DATA'!D20/'INPUT DATA'!D30</f>
        <v>0.5754959866727245</v>
      </c>
      <c r="H21" s="51" t="s">
        <v>283</v>
      </c>
      <c r="I21" s="43" t="s">
        <v>283</v>
      </c>
      <c r="J21" s="44">
        <f>IF(E21&gt;=0.65,100,IF(E21&lt;=0.5,0,(E21-0.5)/(0.65-0.5)*100))</f>
        <v>51.282051282051242</v>
      </c>
      <c r="K21" s="45" t="str">
        <f>IF(E21&gt;=0.65,"YA TERPENUHI ✓","BELUM TERPENUHI ✗")</f>
        <v>BELUM TERPENUHI ✗</v>
      </c>
      <c r="L21" s="46" t="s">
        <v>284</v>
      </c>
    </row>
    <row r="22" spans="1:12" ht="19.5" customHeight="1">
      <c r="A22" s="37" t="s">
        <v>50</v>
      </c>
      <c r="B22" s="49" t="s">
        <v>285</v>
      </c>
      <c r="C22" s="50" t="s">
        <v>286</v>
      </c>
      <c r="D22" s="17" t="s">
        <v>275</v>
      </c>
      <c r="E22" s="52">
        <f>'INPUT DATA'!B30/'INPUT DATA'!B71</f>
        <v>21047619.047619049</v>
      </c>
      <c r="F22" s="53">
        <f>'INPUT DATA'!C30/'INPUT DATA'!C71</f>
        <v>20400000</v>
      </c>
      <c r="G22" s="53">
        <f>'INPUT DATA'!D30/'INPUT DATA'!D71</f>
        <v>19710447.761194032</v>
      </c>
      <c r="H22" s="51" t="s">
        <v>287</v>
      </c>
      <c r="I22" s="43" t="s">
        <v>287</v>
      </c>
      <c r="J22" s="44"/>
      <c r="K22" s="45" t="s">
        <v>288</v>
      </c>
      <c r="L22" s="46" t="s">
        <v>289</v>
      </c>
    </row>
    <row r="23" spans="1:12" ht="21.75" customHeight="1">
      <c r="A23" s="123" t="s">
        <v>290</v>
      </c>
      <c r="B23" s="123"/>
      <c r="C23" s="123"/>
      <c r="D23" s="123"/>
      <c r="E23" s="123"/>
      <c r="F23" s="123"/>
      <c r="G23" s="123"/>
      <c r="H23" s="123"/>
      <c r="I23" s="123"/>
      <c r="J23" s="123"/>
      <c r="K23" s="123"/>
      <c r="L23" s="123"/>
    </row>
    <row r="24" spans="1:12" ht="21.75" customHeight="1">
      <c r="A24" s="14" t="s">
        <v>202</v>
      </c>
      <c r="B24" s="14" t="s">
        <v>203</v>
      </c>
      <c r="C24" s="14" t="s">
        <v>204</v>
      </c>
      <c r="D24" s="14" t="s">
        <v>205</v>
      </c>
      <c r="E24" s="14" t="s">
        <v>179</v>
      </c>
      <c r="F24" s="14" t="s">
        <v>180</v>
      </c>
      <c r="G24" s="14" t="s">
        <v>181</v>
      </c>
      <c r="H24" s="14" t="s">
        <v>206</v>
      </c>
      <c r="I24" s="14" t="s">
        <v>207</v>
      </c>
      <c r="J24" s="14" t="s">
        <v>208</v>
      </c>
      <c r="K24" s="14" t="s">
        <v>209</v>
      </c>
      <c r="L24" s="14" t="s">
        <v>80</v>
      </c>
    </row>
    <row r="25" spans="1:12" ht="19.5" customHeight="1">
      <c r="A25" s="37" t="s">
        <v>291</v>
      </c>
      <c r="B25" s="38" t="s">
        <v>292</v>
      </c>
      <c r="C25" s="39" t="s">
        <v>293</v>
      </c>
      <c r="D25" s="17" t="s">
        <v>294</v>
      </c>
      <c r="E25" s="47">
        <f>('INPUT DATA'!B16-'INPUT DATA'!B30+'INPUT DATA'!B27+'INPUT DATA'!B28)/'INPUT DATA'!B46</f>
        <v>1.3928571428571428</v>
      </c>
      <c r="F25" s="48">
        <f>('INPUT DATA'!C16-'INPUT DATA'!C30+'INPUT DATA'!C27+'INPUT DATA'!C28)/'INPUT DATA'!C46</f>
        <v>2.3159999999999998</v>
      </c>
      <c r="G25" s="48">
        <f>('INPUT DATA'!D16-'INPUT DATA'!D30+'INPUT DATA'!D27+'INPUT DATA'!D28)/'INPUT DATA'!D46</f>
        <v>2.5772727272727272</v>
      </c>
      <c r="H25" s="42">
        <v>2</v>
      </c>
      <c r="I25" s="43" t="s">
        <v>295</v>
      </c>
      <c r="J25" s="44">
        <f>IF(E25&gt;=H25,100,IF(E25&lt;=1.25,0,(E25-1.25)/(H25-1.25)*100))</f>
        <v>19.047619047619037</v>
      </c>
      <c r="K25" s="45" t="str">
        <f>IF(E25&gt;=2,"SEHAT ✓",IF(E25&gt;=1.25,"PERHATIAN","BERISIKO ✗"))</f>
        <v>PERHATIAN</v>
      </c>
      <c r="L25" s="46" t="s">
        <v>296</v>
      </c>
    </row>
    <row r="26" spans="1:12" ht="19.5" customHeight="1">
      <c r="A26" s="37" t="s">
        <v>297</v>
      </c>
      <c r="B26" s="38" t="s">
        <v>298</v>
      </c>
      <c r="C26" s="39" t="s">
        <v>299</v>
      </c>
      <c r="D26" s="17" t="s">
        <v>300</v>
      </c>
      <c r="E26" s="40">
        <f>'INPUT DATA'!B42/'INPUT DATA'!B40</f>
        <v>0.16042780748663102</v>
      </c>
      <c r="F26" s="41">
        <f>'INPUT DATA'!C42/'INPUT DATA'!C40</f>
        <v>0.16423357664233576</v>
      </c>
      <c r="G26" s="41">
        <f>'INPUT DATA'!D42/'INPUT DATA'!D40</f>
        <v>0.16655100624566274</v>
      </c>
      <c r="H26" s="42">
        <v>0.25</v>
      </c>
      <c r="I26" s="43" t="s">
        <v>301</v>
      </c>
      <c r="J26" s="44">
        <f>IF(E26&lt;=H26,100,IF(E26&gt;=0.35,0,(E26-0.35)/(H26-0.35)*100))</f>
        <v>100</v>
      </c>
      <c r="K26" s="45" t="str">
        <f>IF(E26&lt;0.25,"SEHAT ✓",IF(E26&lt;0.35,"PERHATIAN","BERISIKO ✗"))</f>
        <v>SEHAT ✓</v>
      </c>
      <c r="L26" s="46" t="s">
        <v>302</v>
      </c>
    </row>
    <row r="27" spans="1:12" ht="19.5" customHeight="1">
      <c r="A27" s="37" t="s">
        <v>303</v>
      </c>
      <c r="B27" s="38" t="s">
        <v>304</v>
      </c>
      <c r="C27" s="39" t="s">
        <v>305</v>
      </c>
      <c r="D27" s="17" t="s">
        <v>306</v>
      </c>
      <c r="E27" s="47">
        <f>'INPUT DATA'!B77/'INPUT DATA'!B78</f>
        <v>2.6</v>
      </c>
      <c r="F27" s="48">
        <f>'INPUT DATA'!C77/'INPUT DATA'!C78</f>
        <v>4.3208955223880601</v>
      </c>
      <c r="G27" s="48">
        <f>'INPUT DATA'!D77/'INPUT DATA'!D78</f>
        <v>4.8050847457627119</v>
      </c>
      <c r="H27" s="42">
        <v>3</v>
      </c>
      <c r="I27" s="43" t="s">
        <v>216</v>
      </c>
      <c r="J27" s="44">
        <f>IF(E27&gt;=H27,100,IF(E27&lt;=2,0,(E27-2)/(H27-2)*100))</f>
        <v>60.000000000000007</v>
      </c>
      <c r="K27" s="45" t="str">
        <f>IF(E27&gt;=3,"SEHAT ✓",IF(E27&gt;=2,"PERHATIAN","BERISIKO ✗"))</f>
        <v>PERHATIAN</v>
      </c>
      <c r="L27" s="46" t="s">
        <v>307</v>
      </c>
    </row>
    <row r="28" spans="1:12" ht="19.5" customHeight="1">
      <c r="A28" s="37" t="s">
        <v>308</v>
      </c>
      <c r="B28" s="38" t="s">
        <v>309</v>
      </c>
      <c r="C28" s="39" t="s">
        <v>310</v>
      </c>
      <c r="D28" s="17" t="s">
        <v>311</v>
      </c>
      <c r="E28" s="52">
        <f>'INPUT DATA'!B42/'INPUT DATA'!B71</f>
        <v>7142857.1428571427</v>
      </c>
      <c r="F28" s="53">
        <f>'INPUT DATA'!C42/'INPUT DATA'!C71</f>
        <v>7200000</v>
      </c>
      <c r="G28" s="53">
        <f>'INPUT DATA'!D42/'INPUT DATA'!D71</f>
        <v>7164179.1044776123</v>
      </c>
      <c r="H28" s="42" t="s">
        <v>276</v>
      </c>
      <c r="I28" s="43" t="s">
        <v>276</v>
      </c>
      <c r="J28" s="44"/>
      <c r="K28" s="45" t="s">
        <v>312</v>
      </c>
      <c r="L28" s="46" t="s">
        <v>313</v>
      </c>
    </row>
    <row r="29" spans="1:12" ht="21.75" customHeight="1">
      <c r="A29" s="124" t="s">
        <v>314</v>
      </c>
      <c r="B29" s="124"/>
      <c r="C29" s="124"/>
      <c r="D29" s="124"/>
      <c r="E29" s="124"/>
      <c r="F29" s="124"/>
      <c r="G29" s="124"/>
      <c r="H29" s="124"/>
      <c r="I29" s="124"/>
      <c r="J29" s="124"/>
      <c r="K29" s="124"/>
      <c r="L29" s="124"/>
    </row>
    <row r="30" spans="1:12" ht="21.75" customHeight="1">
      <c r="A30" s="14" t="s">
        <v>202</v>
      </c>
      <c r="B30" s="14" t="s">
        <v>203</v>
      </c>
      <c r="C30" s="14" t="s">
        <v>204</v>
      </c>
      <c r="D30" s="14" t="s">
        <v>205</v>
      </c>
      <c r="E30" s="14" t="s">
        <v>179</v>
      </c>
      <c r="F30" s="14" t="s">
        <v>180</v>
      </c>
      <c r="G30" s="14" t="s">
        <v>181</v>
      </c>
      <c r="H30" s="14" t="s">
        <v>206</v>
      </c>
      <c r="I30" s="14" t="s">
        <v>207</v>
      </c>
      <c r="J30" s="14" t="s">
        <v>208</v>
      </c>
      <c r="K30" s="14" t="s">
        <v>209</v>
      </c>
      <c r="L30" s="14" t="s">
        <v>80</v>
      </c>
    </row>
    <row r="31" spans="1:12" ht="19.5" customHeight="1">
      <c r="A31" s="37" t="s">
        <v>315</v>
      </c>
      <c r="B31" s="38" t="s">
        <v>316</v>
      </c>
      <c r="C31" s="39" t="s">
        <v>317</v>
      </c>
      <c r="D31" s="17" t="s">
        <v>318</v>
      </c>
      <c r="E31" s="52">
        <f>'INPUT DATA'!B39/'INPUT DATA'!B71</f>
        <v>10000000</v>
      </c>
      <c r="F31" s="53">
        <f>'INPUT DATA'!C39/'INPUT DATA'!C71</f>
        <v>9600000</v>
      </c>
      <c r="G31" s="53">
        <f>'INPUT DATA'!D39/'INPUT DATA'!D71</f>
        <v>9104477.6119402982</v>
      </c>
      <c r="H31" s="42" t="s">
        <v>319</v>
      </c>
      <c r="I31" s="43" t="s">
        <v>319</v>
      </c>
      <c r="J31" s="44"/>
      <c r="K31" s="45" t="s">
        <v>320</v>
      </c>
      <c r="L31" s="46" t="s">
        <v>321</v>
      </c>
    </row>
    <row r="32" spans="1:12" ht="19.5" customHeight="1">
      <c r="A32" s="37" t="s">
        <v>322</v>
      </c>
      <c r="B32" s="38" t="s">
        <v>323</v>
      </c>
      <c r="C32" s="39" t="s">
        <v>324</v>
      </c>
      <c r="D32" s="17" t="s">
        <v>325</v>
      </c>
      <c r="E32" s="40">
        <f>'INPUT DATA'!B74/'INPUT DATA'!B50</f>
        <v>5.8064516129032261E-2</v>
      </c>
      <c r="F32" s="41" t="s">
        <v>326</v>
      </c>
      <c r="G32" s="41" t="s">
        <v>326</v>
      </c>
      <c r="H32" s="42" t="s">
        <v>327</v>
      </c>
      <c r="I32" s="43" t="s">
        <v>328</v>
      </c>
      <c r="J32" s="44"/>
      <c r="K32" s="45" t="str">
        <f>IF(AND(E32&gt;=0.04,E32&lt;=0.08),"SEHAT ✓",IF(AND(E32&gt;=0.03,E32&lt;=0.09),"PERHATIAN","BERISIKO ✗"))</f>
        <v>SEHAT ✓</v>
      </c>
      <c r="L32" s="46" t="s">
        <v>329</v>
      </c>
    </row>
    <row r="33" spans="1:12" ht="19.5" customHeight="1">
      <c r="A33" s="37" t="s">
        <v>330</v>
      </c>
      <c r="B33" s="38" t="s">
        <v>331</v>
      </c>
      <c r="C33" s="39" t="s">
        <v>332</v>
      </c>
      <c r="D33" s="17" t="s">
        <v>333</v>
      </c>
      <c r="E33" s="40">
        <f>'INPUT DATA'!B75/'INPUT DATA'!B50</f>
        <v>0.11612903225806452</v>
      </c>
      <c r="F33" s="41" t="s">
        <v>326</v>
      </c>
      <c r="G33" s="41" t="s">
        <v>326</v>
      </c>
      <c r="H33" s="42" t="s">
        <v>334</v>
      </c>
      <c r="I33" s="43" t="s">
        <v>335</v>
      </c>
      <c r="J33" s="44"/>
      <c r="K33" s="45" t="str">
        <f>IF(E33&gt;0.08,"SEHAT ✓",IF(E33&gt;0.05,"PERHATIAN","BERISIKO ✗"))</f>
        <v>SEHAT ✓</v>
      </c>
      <c r="L33" s="46" t="s">
        <v>336</v>
      </c>
    </row>
    <row r="34" spans="1:12" ht="19.5" customHeight="1">
      <c r="A34" s="37" t="s">
        <v>337</v>
      </c>
      <c r="B34" s="38" t="s">
        <v>338</v>
      </c>
      <c r="C34" s="39" t="s">
        <v>339</v>
      </c>
      <c r="D34" s="17" t="s">
        <v>340</v>
      </c>
      <c r="E34" s="47">
        <f>'INPUT DATA'!B39/'INPUT DATA'!B42</f>
        <v>1.4</v>
      </c>
      <c r="F34" s="48">
        <f>'INPUT DATA'!C39/'INPUT DATA'!C42</f>
        <v>1.3333333333333333</v>
      </c>
      <c r="G34" s="48">
        <f>'INPUT DATA'!D39/'INPUT DATA'!D42</f>
        <v>1.2708333333333333</v>
      </c>
      <c r="H34" s="42" t="s">
        <v>341</v>
      </c>
      <c r="I34" s="43" t="s">
        <v>342</v>
      </c>
      <c r="J34" s="44"/>
      <c r="K34" s="45" t="str">
        <f>IF(E34&gt;2,"SEHAT ✓",IF(E34&gt;=1,"PERHATIAN","BERISIKO ✗"))</f>
        <v>PERHATIAN</v>
      </c>
      <c r="L34" s="46" t="s">
        <v>343</v>
      </c>
    </row>
    <row r="35" spans="1:12" ht="21.75" customHeight="1">
      <c r="A35" s="119" t="s">
        <v>344</v>
      </c>
      <c r="B35" s="119"/>
      <c r="C35" s="119"/>
      <c r="D35" s="119"/>
      <c r="E35" s="119"/>
      <c r="F35" s="119"/>
      <c r="G35" s="119"/>
      <c r="H35" s="119"/>
      <c r="I35" s="119"/>
      <c r="J35" s="119"/>
      <c r="K35" s="119"/>
      <c r="L35" s="119"/>
    </row>
    <row r="36" spans="1:12" ht="21.75" customHeight="1">
      <c r="A36" s="14" t="s">
        <v>202</v>
      </c>
      <c r="B36" s="14" t="s">
        <v>203</v>
      </c>
      <c r="C36" s="14" t="s">
        <v>204</v>
      </c>
      <c r="D36" s="14" t="s">
        <v>205</v>
      </c>
      <c r="E36" s="14" t="s">
        <v>179</v>
      </c>
      <c r="F36" s="14" t="s">
        <v>180</v>
      </c>
      <c r="G36" s="14" t="s">
        <v>181</v>
      </c>
      <c r="H36" s="14" t="s">
        <v>206</v>
      </c>
      <c r="I36" s="14" t="s">
        <v>207</v>
      </c>
      <c r="J36" s="14" t="s">
        <v>208</v>
      </c>
      <c r="K36" s="14" t="s">
        <v>209</v>
      </c>
      <c r="L36" s="14" t="s">
        <v>80</v>
      </c>
    </row>
    <row r="37" spans="1:12" ht="19.5" customHeight="1">
      <c r="A37" s="37" t="s">
        <v>32</v>
      </c>
      <c r="B37" s="49" t="s">
        <v>345</v>
      </c>
      <c r="C37" s="50" t="s">
        <v>346</v>
      </c>
      <c r="D37" s="17" t="s">
        <v>347</v>
      </c>
      <c r="E37" s="40">
        <f>'INPUT DATA'!B15/'INPUT DATA'!B16</f>
        <v>0.90990990990990994</v>
      </c>
      <c r="F37" s="41">
        <f>'INPUT DATA'!C15/'INPUT DATA'!C16</f>
        <v>0.90909090909090906</v>
      </c>
      <c r="G37" s="41">
        <f>'INPUT DATA'!D15/'INPUT DATA'!D16</f>
        <v>0.90579710144927539</v>
      </c>
      <c r="H37" s="51" t="s">
        <v>348</v>
      </c>
      <c r="I37" s="43" t="s">
        <v>348</v>
      </c>
      <c r="J37" s="44"/>
      <c r="K37" s="45" t="str">
        <f>IF(E37&gt;=0.3,"YA TERPENUHI ✓","BELUM TERPENUHI ✗")</f>
        <v>YA TERPENUHI ✓</v>
      </c>
      <c r="L37" s="46" t="s">
        <v>349</v>
      </c>
    </row>
    <row r="38" spans="1:12" ht="19.5" customHeight="1">
      <c r="A38" s="37" t="s">
        <v>47</v>
      </c>
      <c r="B38" s="49" t="s">
        <v>350</v>
      </c>
      <c r="C38" s="50" t="s">
        <v>351</v>
      </c>
      <c r="D38" s="17" t="s">
        <v>352</v>
      </c>
      <c r="E38" s="40">
        <f>('INPUT DATA'!B16-'INPUT DATA'!C16)/'INPUT DATA'!C16</f>
        <v>0.12121212121212122</v>
      </c>
      <c r="F38" s="41">
        <f>('INPUT DATA'!C16-'INPUT DATA'!D16)/'INPUT DATA'!D16</f>
        <v>0.14782608695652175</v>
      </c>
      <c r="G38" s="41" t="s">
        <v>326</v>
      </c>
      <c r="H38" s="51" t="s">
        <v>353</v>
      </c>
      <c r="I38" s="43" t="s">
        <v>353</v>
      </c>
      <c r="J38" s="44"/>
      <c r="K38" s="45" t="str">
        <f>IF(E38&gt;=0.05,"YA TERPENUHI ✓","BELUM TERPENUHI ✗")</f>
        <v>YA TERPENUHI ✓</v>
      </c>
      <c r="L38" s="46" t="s">
        <v>354</v>
      </c>
    </row>
    <row r="39" spans="1:12" ht="19.5" customHeight="1">
      <c r="A39" s="37" t="s">
        <v>355</v>
      </c>
      <c r="B39" s="38" t="s">
        <v>356</v>
      </c>
      <c r="C39" s="39" t="s">
        <v>357</v>
      </c>
      <c r="D39" s="17" t="s">
        <v>358</v>
      </c>
      <c r="E39" s="40">
        <f>MAX('INPUT DATA'!B6,ABS('INPUT DATA'!B7),'INPUT DATA'!B8,'INPUT DATA'!B9,'INPUT DATA'!B10,'INPUT DATA'!B11,'INPUT DATA'!B12,'INPUT DATA'!B13)/'INPUT DATA'!B16</f>
        <v>0.7567567567567568</v>
      </c>
      <c r="F39" s="41">
        <f>MAX('INPUT DATA'!C6,ABS('INPUT DATA'!C7),'INPUT DATA'!C8,'INPUT DATA'!C9,'INPUT DATA'!C10,'INPUT DATA'!C11,'INPUT DATA'!C12,'INPUT DATA'!C13)/'INPUT DATA'!C16</f>
        <v>0.75757575757575757</v>
      </c>
      <c r="G39" s="41">
        <f>MAX('INPUT DATA'!D6,ABS('INPUT DATA'!D7),'INPUT DATA'!D8,'INPUT DATA'!D9,'INPUT DATA'!D10,'INPUT DATA'!D11,'INPUT DATA'!D12,'INPUT DATA'!D13)/'INPUT DATA'!D16</f>
        <v>0.77681159420289858</v>
      </c>
      <c r="H39" s="42">
        <v>0.6</v>
      </c>
      <c r="I39" s="43" t="s">
        <v>270</v>
      </c>
      <c r="J39" s="44">
        <f>IF(E39&lt;=H39,100,IF(E39&gt;=0.7,0,(E39-0.7)/(H39-0.7)*100))</f>
        <v>0</v>
      </c>
      <c r="K39" s="45" t="str">
        <f>IF(E39&lt;0.6,"SEHAT ✓",IF(E39&lt;0.7,"PERHATIAN","BERISIKO ✗"))</f>
        <v>BERISIKO ✗</v>
      </c>
      <c r="L39" s="46" t="s">
        <v>359</v>
      </c>
    </row>
    <row r="40" spans="1:12" ht="19.5" customHeight="1">
      <c r="A40" s="37" t="s">
        <v>360</v>
      </c>
      <c r="B40" s="38" t="s">
        <v>361</v>
      </c>
      <c r="C40" s="39" t="s">
        <v>362</v>
      </c>
      <c r="D40" s="17" t="s">
        <v>363</v>
      </c>
      <c r="E40" s="40">
        <f>'INPUT DATA'!B10/'INPUT DATA'!B16</f>
        <v>6.5315315315315314E-2</v>
      </c>
      <c r="F40" s="41">
        <f>'INPUT DATA'!C10/'INPUT DATA'!C16</f>
        <v>6.1868686868686872E-2</v>
      </c>
      <c r="G40" s="41">
        <f>'INPUT DATA'!D10/'INPUT DATA'!D16</f>
        <v>5.9420289855072465E-2</v>
      </c>
      <c r="H40" s="42">
        <v>0.1</v>
      </c>
      <c r="I40" s="43" t="s">
        <v>364</v>
      </c>
      <c r="J40" s="44">
        <f>IF(E40&gt;=H40,100,IF(E40&lt;=0.01,0,(E40-0.01)/(H40-0.01)*100))</f>
        <v>61.461461461461454</v>
      </c>
      <c r="K40" s="45" t="str">
        <f>IF(E40&gt;0.1,"SEHAT ✓",IF(E40&gt;0.05,"PERHATIAN","BERISIKO ✗"))</f>
        <v>PERHATIAN</v>
      </c>
      <c r="L40" s="46" t="s">
        <v>365</v>
      </c>
    </row>
    <row r="41" spans="1:12" ht="19.5" customHeight="1">
      <c r="A41" s="37" t="s">
        <v>366</v>
      </c>
      <c r="B41" s="38" t="s">
        <v>367</v>
      </c>
      <c r="C41" s="39" t="s">
        <v>368</v>
      </c>
      <c r="D41" s="17" t="s">
        <v>369</v>
      </c>
      <c r="E41" s="40">
        <f>'INPUT DATA'!B9/'INPUT DATA'!B16</f>
        <v>0.11261261261261261</v>
      </c>
      <c r="F41" s="41">
        <f>'INPUT DATA'!C9/'INPUT DATA'!C16</f>
        <v>0.12373737373737374</v>
      </c>
      <c r="G41" s="41">
        <f>'INPUT DATA'!D9/'INPUT DATA'!D16</f>
        <v>0.11304347826086956</v>
      </c>
      <c r="H41" s="42">
        <v>0.1</v>
      </c>
      <c r="I41" s="43" t="s">
        <v>370</v>
      </c>
      <c r="J41" s="44">
        <f>IF(E41&gt;=H41,100,IF(E41&lt;=0.05,0,(E41-0.05)/(H41-0.05)*100))</f>
        <v>100</v>
      </c>
      <c r="K41" s="45" t="str">
        <f>IF(E41&gt;H41,"SEHAT ✓",IF(E41&gt;0.05,"PERHATIAN","BERISIKO ✗"))</f>
        <v>SEHAT ✓</v>
      </c>
      <c r="L41" s="46" t="s">
        <v>371</v>
      </c>
    </row>
    <row r="42" spans="1:12" ht="19.5" customHeight="1">
      <c r="A42" s="37" t="s">
        <v>372</v>
      </c>
      <c r="B42" s="38" t="s">
        <v>373</v>
      </c>
      <c r="C42" s="39" t="s">
        <v>374</v>
      </c>
      <c r="D42" s="17" t="s">
        <v>375</v>
      </c>
      <c r="E42" s="40">
        <f>'INPUT DATA'!B11/'INPUT DATA'!B16</f>
        <v>0.10135135135135136</v>
      </c>
      <c r="F42" s="41">
        <f>'INPUT DATA'!C11/'INPUT DATA'!C16</f>
        <v>9.5959595959595953E-2</v>
      </c>
      <c r="G42" s="41">
        <f>'INPUT DATA'!D11/'INPUT DATA'!D16</f>
        <v>9.2753623188405798E-2</v>
      </c>
      <c r="H42" s="42" t="s">
        <v>376</v>
      </c>
      <c r="I42" s="43" t="s">
        <v>377</v>
      </c>
      <c r="J42" s="44"/>
      <c r="K42" s="45" t="str">
        <f>IF(AND(E42&gt;=0.15,E42&lt;=0.25),"SEHAT ✓",IF(E42&gt;0.1,"PERHATIAN","PERHATIAN"))</f>
        <v>PERHATIAN</v>
      </c>
      <c r="L42" s="46" t="s">
        <v>378</v>
      </c>
    </row>
    <row r="43" spans="1:12" ht="21.75" customHeight="1">
      <c r="A43" s="125" t="s">
        <v>379</v>
      </c>
      <c r="B43" s="125"/>
      <c r="C43" s="125"/>
      <c r="D43" s="125"/>
      <c r="E43" s="125"/>
      <c r="F43" s="125"/>
      <c r="G43" s="125"/>
      <c r="H43" s="125"/>
      <c r="I43" s="125"/>
      <c r="J43" s="125"/>
      <c r="K43" s="125"/>
      <c r="L43" s="125"/>
    </row>
    <row r="44" spans="1:12" ht="21.75" customHeight="1">
      <c r="A44" s="14" t="s">
        <v>202</v>
      </c>
      <c r="B44" s="14" t="s">
        <v>203</v>
      </c>
      <c r="C44" s="14" t="s">
        <v>204</v>
      </c>
      <c r="D44" s="14" t="s">
        <v>205</v>
      </c>
      <c r="E44" s="14" t="s">
        <v>179</v>
      </c>
      <c r="F44" s="14" t="s">
        <v>180</v>
      </c>
      <c r="G44" s="14" t="s">
        <v>181</v>
      </c>
      <c r="H44" s="14" t="s">
        <v>206</v>
      </c>
      <c r="I44" s="14" t="s">
        <v>207</v>
      </c>
      <c r="J44" s="14" t="s">
        <v>208</v>
      </c>
      <c r="K44" s="14" t="s">
        <v>209</v>
      </c>
      <c r="L44" s="14" t="s">
        <v>80</v>
      </c>
    </row>
    <row r="45" spans="1:12" ht="19.5" customHeight="1">
      <c r="A45" s="37" t="s">
        <v>380</v>
      </c>
      <c r="B45" s="38" t="s">
        <v>381</v>
      </c>
      <c r="C45" s="39" t="s">
        <v>382</v>
      </c>
      <c r="D45" s="17" t="s">
        <v>383</v>
      </c>
      <c r="E45" s="47">
        <f>'INPUT DATA'!B71/'INPUT DATA'!B72</f>
        <v>18.260869565217391</v>
      </c>
      <c r="F45" s="48">
        <f>'INPUT DATA'!C71/'INPUT DATA'!C72</f>
        <v>17.857142857142858</v>
      </c>
      <c r="G45" s="48">
        <f>'INPUT DATA'!D71/'INPUT DATA'!D72</f>
        <v>17.447916666666668</v>
      </c>
      <c r="H45" s="42" t="s">
        <v>384</v>
      </c>
      <c r="I45" s="43" t="s">
        <v>385</v>
      </c>
      <c r="J45" s="44"/>
      <c r="K45" s="45" t="str">
        <f>IF(AND(E45&lt;=20,E45&gt;=12),"SEHAT ✓",IF(E45&lt;=30,"PERHATIAN","BERISIKO ✗"))</f>
        <v>SEHAT ✓</v>
      </c>
      <c r="L45" s="46" t="s">
        <v>386</v>
      </c>
    </row>
    <row r="46" spans="1:12" ht="19.5" customHeight="1">
      <c r="A46" s="37" t="s">
        <v>387</v>
      </c>
      <c r="B46" s="38" t="s">
        <v>388</v>
      </c>
      <c r="C46" s="39" t="s">
        <v>389</v>
      </c>
      <c r="D46" s="17" t="s">
        <v>390</v>
      </c>
      <c r="E46" s="40">
        <f>ABS('INPUT DATA'!B73)/'INPUT DATA'!B6</f>
        <v>0.25</v>
      </c>
      <c r="F46" s="41">
        <f>ABS('INPUT DATA'!C73)/'INPUT DATA'!C6</f>
        <v>0.25</v>
      </c>
      <c r="G46" s="41">
        <f>ABS('INPUT DATA'!D73)/'INPUT DATA'!D6</f>
        <v>0.25</v>
      </c>
      <c r="H46" s="42" t="s">
        <v>391</v>
      </c>
      <c r="I46" s="43" t="s">
        <v>392</v>
      </c>
      <c r="J46" s="44"/>
      <c r="K46" s="45" t="str">
        <f>IF(AND(E46&gt;=0.3,E46&lt;=0.5),"SEHAT ✓",IF(E46&lt;=0.6,"PERHATIAN","BERISIKO ✗"))</f>
        <v>PERHATIAN</v>
      </c>
      <c r="L46" s="46" t="s">
        <v>393</v>
      </c>
    </row>
    <row r="47" spans="1:12" ht="19.5" customHeight="1">
      <c r="A47" s="37" t="s">
        <v>394</v>
      </c>
      <c r="B47" s="38" t="s">
        <v>395</v>
      </c>
      <c r="C47" s="39" t="s">
        <v>396</v>
      </c>
      <c r="D47" s="17" t="s">
        <v>397</v>
      </c>
      <c r="E47" s="52">
        <f>'INPUT DATA'!B14/'INPUT DATA'!B71</f>
        <v>12000000</v>
      </c>
      <c r="F47" s="53">
        <f>'INPUT DATA'!C14/'INPUT DATA'!C71</f>
        <v>12000000</v>
      </c>
      <c r="G47" s="53">
        <f>'INPUT DATA'!D14/'INPUT DATA'!D71</f>
        <v>12000000</v>
      </c>
      <c r="H47" s="42" t="s">
        <v>398</v>
      </c>
      <c r="I47" s="43" t="s">
        <v>399</v>
      </c>
      <c r="J47" s="44"/>
      <c r="K47" s="45" t="str">
        <f>IF(E47&gt;F47,"SEHAT ✓",IF(E47=F47,"STABIL","BERISIKO ✗"))</f>
        <v>STABIL</v>
      </c>
      <c r="L47" s="46" t="s">
        <v>400</v>
      </c>
    </row>
    <row r="48" spans="1:12" ht="19.5" customHeight="1">
      <c r="A48" s="37" t="s">
        <v>401</v>
      </c>
      <c r="B48" s="38" t="s">
        <v>402</v>
      </c>
      <c r="C48" s="39" t="s">
        <v>403</v>
      </c>
      <c r="D48" s="17" t="s">
        <v>404</v>
      </c>
      <c r="E48" s="40">
        <f>('INPUT DATA'!B26+'INPUT DATA'!B22)/'INPUT DATA'!B30</f>
        <v>0.47511312217194568</v>
      </c>
      <c r="F48" s="41">
        <f>'INPUT DATA'!C26/'INPUT DATA'!C30</f>
        <v>1.3856209150326797E-2</v>
      </c>
      <c r="G48" s="41">
        <f>'INPUT DATA'!D26/'INPUT DATA'!D30</f>
        <v>1.4084507042253521E-2</v>
      </c>
      <c r="H48" s="42" t="s">
        <v>405</v>
      </c>
      <c r="I48" s="43" t="s">
        <v>406</v>
      </c>
      <c r="J48" s="44"/>
      <c r="K48" s="45" t="str">
        <f>IF(AND(E48&gt;=0.45,E48&lt;=0.55),"SEHAT ✓",IF(AND(E48&gt;=0.4,E48&lt;=0.6),"PERHATIAN","BERISIKO ✗"))</f>
        <v>SEHAT ✓</v>
      </c>
      <c r="L48" s="46" t="s">
        <v>407</v>
      </c>
    </row>
    <row r="49" spans="1:12" ht="21.75" customHeight="1">
      <c r="A49" s="125" t="s">
        <v>408</v>
      </c>
      <c r="B49" s="125"/>
      <c r="C49" s="125"/>
      <c r="D49" s="125"/>
      <c r="E49" s="125"/>
      <c r="F49" s="125"/>
      <c r="G49" s="125"/>
      <c r="H49" s="125"/>
      <c r="I49" s="125"/>
      <c r="J49" s="125"/>
      <c r="K49" s="125"/>
      <c r="L49" s="125"/>
    </row>
    <row r="50" spans="1:12" ht="21.75" customHeight="1">
      <c r="A50" s="14" t="s">
        <v>202</v>
      </c>
      <c r="B50" s="14" t="s">
        <v>203</v>
      </c>
      <c r="C50" s="14" t="s">
        <v>204</v>
      </c>
      <c r="D50" s="14" t="s">
        <v>205</v>
      </c>
      <c r="E50" s="14" t="s">
        <v>179</v>
      </c>
      <c r="F50" s="14" t="s">
        <v>180</v>
      </c>
      <c r="G50" s="14" t="s">
        <v>181</v>
      </c>
      <c r="H50" s="14" t="s">
        <v>206</v>
      </c>
      <c r="I50" s="14" t="s">
        <v>207</v>
      </c>
      <c r="J50" s="14" t="s">
        <v>208</v>
      </c>
      <c r="K50" s="14" t="s">
        <v>209</v>
      </c>
      <c r="L50" s="14" t="s">
        <v>80</v>
      </c>
    </row>
    <row r="51" spans="1:12" ht="21.75" customHeight="1">
      <c r="A51" s="54" t="s">
        <v>32</v>
      </c>
      <c r="B51" s="55" t="s">
        <v>409</v>
      </c>
      <c r="C51" s="56" t="s">
        <v>410</v>
      </c>
      <c r="D51" s="17" t="s">
        <v>411</v>
      </c>
      <c r="E51" s="40">
        <f>'INPUT DATA'!B15/'INPUT DATA'!B16</f>
        <v>0.90990990990990994</v>
      </c>
      <c r="F51" s="41">
        <f>'INPUT DATA'!C15/'INPUT DATA'!C16</f>
        <v>0.90909090909090906</v>
      </c>
      <c r="G51" s="41">
        <f>'INPUT DATA'!D15/'INPUT DATA'!D16</f>
        <v>0.90579710144927539</v>
      </c>
      <c r="H51" s="57" t="s">
        <v>348</v>
      </c>
      <c r="I51" s="43" t="s">
        <v>348</v>
      </c>
      <c r="J51" s="58"/>
      <c r="K51" s="45" t="str">
        <f>IF(E51&gt;=0.3,"YA TERPENUHI ✓","BELUM TERPENUHI ✗")</f>
        <v>YA TERPENUHI ✓</v>
      </c>
      <c r="L51" s="46" t="s">
        <v>411</v>
      </c>
    </row>
    <row r="52" spans="1:12" ht="21.75" customHeight="1">
      <c r="A52" s="54" t="s">
        <v>35</v>
      </c>
      <c r="B52" s="55" t="s">
        <v>412</v>
      </c>
      <c r="C52" s="56" t="s">
        <v>410</v>
      </c>
      <c r="D52" s="17" t="s">
        <v>413</v>
      </c>
      <c r="E52" s="40">
        <f>'INPUT DATA'!B20/'INPUT DATA'!B30</f>
        <v>0.57692307692307687</v>
      </c>
      <c r="F52" s="41">
        <f>'INPUT DATA'!C20/'INPUT DATA'!C30</f>
        <v>0.57516339869281041</v>
      </c>
      <c r="G52" s="41">
        <f>'INPUT DATA'!D20/'INPUT DATA'!D30</f>
        <v>0.5754959866727245</v>
      </c>
      <c r="H52" s="57" t="s">
        <v>283</v>
      </c>
      <c r="I52" s="43" t="s">
        <v>283</v>
      </c>
      <c r="J52" s="58"/>
      <c r="K52" s="45" t="str">
        <f>IF(E52&gt;=0.65,"YA TERPENUHI ✓","BELUM TERPENUHI ✗")</f>
        <v>BELUM TERPENUHI ✗</v>
      </c>
      <c r="L52" s="46" t="s">
        <v>413</v>
      </c>
    </row>
    <row r="53" spans="1:12" ht="21.75" customHeight="1">
      <c r="A53" s="54" t="s">
        <v>38</v>
      </c>
      <c r="B53" s="55" t="s">
        <v>414</v>
      </c>
      <c r="C53" s="56" t="s">
        <v>410</v>
      </c>
      <c r="D53" s="17" t="s">
        <v>415</v>
      </c>
      <c r="E53" s="40">
        <f>'INPUT DATA'!E60</f>
        <v>4.2474072083946525E-2</v>
      </c>
      <c r="F53" s="41" t="s">
        <v>326</v>
      </c>
      <c r="G53" s="41" t="s">
        <v>326</v>
      </c>
      <c r="H53" s="57" t="s">
        <v>416</v>
      </c>
      <c r="I53" s="43" t="s">
        <v>416</v>
      </c>
      <c r="J53" s="58"/>
      <c r="K53" s="45" t="str">
        <f>IF(E53&lt;=0.1,"YA TERPENUHI ✓","BELUM TERPENUHI ✗")</f>
        <v>YA TERPENUHI ✓</v>
      </c>
      <c r="L53" s="46" t="s">
        <v>415</v>
      </c>
    </row>
    <row r="54" spans="1:12" ht="21.75" customHeight="1">
      <c r="A54" s="54" t="s">
        <v>41</v>
      </c>
      <c r="B54" s="55" t="s">
        <v>417</v>
      </c>
      <c r="C54" s="56" t="s">
        <v>410</v>
      </c>
      <c r="D54" s="17" t="s">
        <v>418</v>
      </c>
      <c r="E54" s="40">
        <f>'INPUT DATA'!B23/'INPUT DATA'!B30</f>
        <v>0.14705882352941177</v>
      </c>
      <c r="F54" s="41">
        <f>'INPUT DATA'!C23/'INPUT DATA'!C30</f>
        <v>0.14640522875816994</v>
      </c>
      <c r="G54" s="41">
        <f>'INPUT DATA'!D23/'INPUT DATA'!D30</f>
        <v>0.14538845979100409</v>
      </c>
      <c r="H54" s="57" t="s">
        <v>419</v>
      </c>
      <c r="I54" s="43" t="s">
        <v>419</v>
      </c>
      <c r="J54" s="58"/>
      <c r="K54" s="45" t="str">
        <f>IF(E54&gt;=0.15,"YA TERPENUHI ✓","BELUM TERPENUHI ✗")</f>
        <v>BELUM TERPENUHI ✗</v>
      </c>
      <c r="L54" s="46" t="s">
        <v>418</v>
      </c>
    </row>
    <row r="55" spans="1:12" ht="21.75" customHeight="1">
      <c r="A55" s="54" t="s">
        <v>44</v>
      </c>
      <c r="B55" s="55" t="s">
        <v>420</v>
      </c>
      <c r="C55" s="56" t="s">
        <v>410</v>
      </c>
      <c r="D55" s="17" t="s">
        <v>421</v>
      </c>
      <c r="E55" s="40">
        <f>('INPUT DATA'!B24+'INPUT DATA'!B25)/'INPUT DATA'!B30</f>
        <v>0.14705882352941177</v>
      </c>
      <c r="F55" s="41">
        <f>('INPUT DATA'!C24+'INPUT DATA'!C25)/'INPUT DATA'!C30</f>
        <v>0.1477124183006536</v>
      </c>
      <c r="G55" s="41">
        <f>('INPUT DATA'!D24+'INPUT DATA'!D25)/'INPUT DATA'!D30</f>
        <v>0.14690292291382706</v>
      </c>
      <c r="H55" s="57" t="s">
        <v>422</v>
      </c>
      <c r="I55" s="43" t="s">
        <v>422</v>
      </c>
      <c r="J55" s="58"/>
      <c r="K55" s="45" t="str">
        <f>IF(E55&gt;=0.2,"YA TERPENUHI ✓","BELUM TERPENUHI ✗")</f>
        <v>BELUM TERPENUHI ✗</v>
      </c>
      <c r="L55" s="46" t="s">
        <v>421</v>
      </c>
    </row>
    <row r="56" spans="1:12" ht="21.75" customHeight="1">
      <c r="A56" s="54" t="s">
        <v>47</v>
      </c>
      <c r="B56" s="55" t="s">
        <v>423</v>
      </c>
      <c r="C56" s="56" t="s">
        <v>410</v>
      </c>
      <c r="D56" s="17" t="s">
        <v>424</v>
      </c>
      <c r="E56" s="40">
        <f>('INPUT DATA'!B16-'INPUT DATA'!C16)/'INPUT DATA'!C16</f>
        <v>0.12121212121212122</v>
      </c>
      <c r="F56" s="41">
        <f>('INPUT DATA'!C16-'INPUT DATA'!D16)/'INPUT DATA'!D16</f>
        <v>0.14782608695652175</v>
      </c>
      <c r="G56" s="41" t="s">
        <v>326</v>
      </c>
      <c r="H56" s="57" t="s">
        <v>353</v>
      </c>
      <c r="I56" s="43" t="s">
        <v>353</v>
      </c>
      <c r="J56" s="58"/>
      <c r="K56" s="45" t="str">
        <f>IF(E56&gt;=0.05,"YA TERPENUHI ✓","BELUM TERPENUHI ✗")</f>
        <v>YA TERPENUHI ✓</v>
      </c>
      <c r="L56" s="46" t="s">
        <v>424</v>
      </c>
    </row>
    <row r="57" spans="1:12" ht="21.75" customHeight="1">
      <c r="A57" s="54" t="s">
        <v>50</v>
      </c>
      <c r="B57" s="55" t="s">
        <v>425</v>
      </c>
      <c r="C57" s="56" t="s">
        <v>410</v>
      </c>
      <c r="D57" s="17" t="s">
        <v>426</v>
      </c>
      <c r="E57" s="52">
        <f>'INPUT DATA'!B30/'INPUT DATA'!B71</f>
        <v>21047619.047619049</v>
      </c>
      <c r="F57" s="53">
        <f>'INPUT DATA'!C30/'INPUT DATA'!C71</f>
        <v>20400000</v>
      </c>
      <c r="G57" s="41">
        <f>'INPUT DATA'!D30/'INPUT DATA'!D71</f>
        <v>19710447.761194032</v>
      </c>
      <c r="H57" s="57" t="s">
        <v>287</v>
      </c>
      <c r="I57" s="43" t="s">
        <v>287</v>
      </c>
      <c r="J57" s="58"/>
      <c r="K57" s="45" t="s">
        <v>427</v>
      </c>
      <c r="L57" s="46" t="s">
        <v>426</v>
      </c>
    </row>
    <row r="58" spans="1:12" ht="21.75" customHeight="1">
      <c r="A58" s="54" t="s">
        <v>53</v>
      </c>
      <c r="B58" s="55" t="s">
        <v>428</v>
      </c>
      <c r="C58" s="56" t="s">
        <v>410</v>
      </c>
      <c r="D58" s="17" t="s">
        <v>429</v>
      </c>
      <c r="E58" s="40">
        <f>IKK!B12</f>
        <v>3.3258741258741256</v>
      </c>
      <c r="F58" s="41" t="s">
        <v>326</v>
      </c>
      <c r="G58" s="41" t="s">
        <v>326</v>
      </c>
      <c r="H58" s="57" t="s">
        <v>430</v>
      </c>
      <c r="I58" s="43" t="s">
        <v>430</v>
      </c>
      <c r="J58" s="58"/>
      <c r="K58" s="45" t="str">
        <f>IF(IKK!B12&gt;=2.5,"YA TERPENUHI ✓","BELUM TERPENUHI ✗")</f>
        <v>YA TERPENUHI ✓</v>
      </c>
      <c r="L58" s="46" t="s">
        <v>429</v>
      </c>
    </row>
    <row r="59" spans="1:12" ht="21.75" customHeight="1">
      <c r="A59" s="54" t="s">
        <v>56</v>
      </c>
      <c r="B59" s="55" t="s">
        <v>431</v>
      </c>
      <c r="C59" s="56" t="s">
        <v>410</v>
      </c>
      <c r="D59" s="17" t="s">
        <v>432</v>
      </c>
      <c r="E59" s="40">
        <f>'INPUT DATA'!B49/'INPUT DATA'!B41</f>
        <v>2.3888888888888888</v>
      </c>
      <c r="F59" s="41">
        <f>'INPUT DATA'!C49/'INPUT DATA'!C41</f>
        <v>2.3806451612903228</v>
      </c>
      <c r="G59" s="41">
        <f>'INPUT DATA'!D49/'INPUT DATA'!D41</f>
        <v>2.4090909090909092</v>
      </c>
      <c r="H59" s="57" t="s">
        <v>254</v>
      </c>
      <c r="I59" s="43" t="s">
        <v>254</v>
      </c>
      <c r="J59" s="58"/>
      <c r="K59" s="45" t="str">
        <f>IF(E59&gt;=1,"YA TERPENUHI ✓","BELUM TERPENUHI ✗")</f>
        <v>YA TERPENUHI ✓</v>
      </c>
      <c r="L59" s="46" t="s">
        <v>432</v>
      </c>
    </row>
    <row r="60" spans="1:12" ht="21.75" customHeight="1">
      <c r="A60" s="54" t="s">
        <v>59</v>
      </c>
      <c r="B60" s="55" t="s">
        <v>433</v>
      </c>
      <c r="C60" s="56" t="s">
        <v>410</v>
      </c>
      <c r="D60" s="17" t="s">
        <v>434</v>
      </c>
      <c r="E60" s="59">
        <f>'TRIDHARMA ATT'!B9</f>
        <v>1</v>
      </c>
      <c r="F60" s="41" t="s">
        <v>326</v>
      </c>
      <c r="G60" s="41" t="s">
        <v>326</v>
      </c>
      <c r="H60" s="57" t="s">
        <v>435</v>
      </c>
      <c r="I60" s="43" t="s">
        <v>435</v>
      </c>
      <c r="J60" s="58"/>
      <c r="K60" s="45" t="str">
        <f>IF(ABS(E60-1)&lt;=0.33,"YA TERPENUHI ✓","PERLU REBALANCING")</f>
        <v>YA TERPENUHI ✓</v>
      </c>
      <c r="L60" s="46" t="s">
        <v>434</v>
      </c>
    </row>
    <row r="61" spans="1:12" ht="6" customHeight="1"/>
    <row r="62" spans="1:12" ht="21.75" customHeight="1">
      <c r="A62" s="122" t="s">
        <v>436</v>
      </c>
      <c r="B62" s="122"/>
      <c r="C62" s="122"/>
      <c r="D62" s="122"/>
      <c r="E62" s="60">
        <f>COUNTIF(K51:K60,"YA*")</f>
        <v>6</v>
      </c>
      <c r="F62" s="61">
        <f>E62/10</f>
        <v>0.6</v>
      </c>
    </row>
  </sheetData>
  <mergeCells count="11">
    <mergeCell ref="A1:L1"/>
    <mergeCell ref="A2:L2"/>
    <mergeCell ref="A3:L3"/>
    <mergeCell ref="A9:L9"/>
    <mergeCell ref="A15:L15"/>
    <mergeCell ref="A62:D62"/>
    <mergeCell ref="A23:L23"/>
    <mergeCell ref="A29:L29"/>
    <mergeCell ref="A35:L35"/>
    <mergeCell ref="A43:L43"/>
    <mergeCell ref="A49:L4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7"/>
  <sheetViews>
    <sheetView zoomScaleNormal="100" workbookViewId="0"/>
  </sheetViews>
  <sheetFormatPr defaultColWidth="8.7109375" defaultRowHeight="15"/>
  <cols>
    <col min="1" max="1" width="38" customWidth="1"/>
    <col min="2" max="2" width="18" customWidth="1"/>
    <col min="3" max="3" width="22" customWidth="1"/>
    <col min="4" max="4" width="28" customWidth="1"/>
    <col min="5" max="5" width="8" customWidth="1"/>
    <col min="6" max="6" width="20" customWidth="1"/>
  </cols>
  <sheetData>
    <row r="1" spans="1:6" ht="24" customHeight="1">
      <c r="A1" s="118" t="s">
        <v>437</v>
      </c>
      <c r="B1" s="118"/>
      <c r="C1" s="118"/>
      <c r="D1" s="118"/>
      <c r="E1" s="118"/>
      <c r="F1" s="118"/>
    </row>
    <row r="2" spans="1:6" ht="15.75" customHeight="1">
      <c r="A2" s="127" t="s">
        <v>438</v>
      </c>
      <c r="B2" s="127"/>
      <c r="C2" s="127"/>
      <c r="D2" s="127"/>
      <c r="E2" s="127"/>
      <c r="F2" s="127"/>
    </row>
    <row r="3" spans="1:6" ht="6" customHeight="1"/>
    <row r="4" spans="1:6" ht="21.75" customHeight="1">
      <c r="A4" s="33" t="s">
        <v>178</v>
      </c>
      <c r="B4" s="33" t="s">
        <v>439</v>
      </c>
      <c r="C4" s="33" t="s">
        <v>440</v>
      </c>
      <c r="D4" s="33" t="s">
        <v>441</v>
      </c>
      <c r="E4" s="33" t="s">
        <v>442</v>
      </c>
      <c r="F4" s="33" t="s">
        <v>443</v>
      </c>
    </row>
    <row r="5" spans="1:6" ht="18" customHeight="1">
      <c r="A5" s="15" t="s">
        <v>444</v>
      </c>
      <c r="B5" s="62">
        <f>'HASIL RASIO'!E51</f>
        <v>0.90990990990990994</v>
      </c>
      <c r="C5" s="63">
        <v>0.5</v>
      </c>
      <c r="D5" s="29">
        <f>MIN(1,MAX(0,B5/C5))</f>
        <v>1</v>
      </c>
      <c r="E5" s="64">
        <v>0.3</v>
      </c>
      <c r="F5" s="29">
        <f>D5*E5</f>
        <v>0.3</v>
      </c>
    </row>
    <row r="6" spans="1:6" ht="18" customHeight="1">
      <c r="A6" s="15" t="s">
        <v>445</v>
      </c>
      <c r="B6" s="62">
        <f>'HASIL RASIO'!E52</f>
        <v>0.57692307692307687</v>
      </c>
      <c r="C6" s="63">
        <v>0.9</v>
      </c>
      <c r="D6" s="29">
        <f>MIN(1,MAX(0,B6/C6))</f>
        <v>0.64102564102564097</v>
      </c>
      <c r="E6" s="64">
        <v>0.25</v>
      </c>
      <c r="F6" s="29">
        <f>D6*E6</f>
        <v>0.16025641025641024</v>
      </c>
    </row>
    <row r="7" spans="1:6" ht="18" customHeight="1">
      <c r="A7" s="15" t="s">
        <v>446</v>
      </c>
      <c r="B7" s="62">
        <f>'HASIL RASIO'!E59</f>
        <v>2.3888888888888888</v>
      </c>
      <c r="C7" s="63">
        <v>2</v>
      </c>
      <c r="D7" s="29">
        <f>MIN(1,MAX(0,B7/C7))</f>
        <v>1</v>
      </c>
      <c r="E7" s="64">
        <v>0.25</v>
      </c>
      <c r="F7" s="29">
        <f>D7*E7</f>
        <v>0.25</v>
      </c>
    </row>
    <row r="8" spans="1:6" ht="18" customHeight="1">
      <c r="A8" s="15" t="s">
        <v>447</v>
      </c>
      <c r="B8" s="62">
        <f>'HASIL RASIO'!E56</f>
        <v>0.12121212121212122</v>
      </c>
      <c r="C8" s="63">
        <v>0.2</v>
      </c>
      <c r="D8" s="29">
        <f>MIN(1,MAX(0,B8/C8))</f>
        <v>0.60606060606060608</v>
      </c>
      <c r="E8" s="64">
        <v>0.2</v>
      </c>
      <c r="F8" s="29">
        <f>D8*E8</f>
        <v>0.12121212121212122</v>
      </c>
    </row>
    <row r="9" spans="1:6" ht="6" customHeight="1"/>
    <row r="10" spans="1:6" ht="21.75" customHeight="1">
      <c r="A10" s="21" t="s">
        <v>448</v>
      </c>
      <c r="E10" s="65">
        <f>SUM(E5:E8)</f>
        <v>1</v>
      </c>
      <c r="F10" s="66">
        <f>SUM(F5:F8)</f>
        <v>0.83146853146853139</v>
      </c>
    </row>
    <row r="11" spans="1:6" ht="6" customHeight="1"/>
    <row r="12" spans="1:6" ht="24" customHeight="1">
      <c r="A12" s="67" t="s">
        <v>449</v>
      </c>
      <c r="B12" s="68">
        <f>F10*4</f>
        <v>3.3258741258741256</v>
      </c>
      <c r="C12" s="43" t="s">
        <v>450</v>
      </c>
      <c r="D12" s="69" t="str">
        <f>IF(B12&gt;=2.5,"YA TERPENUHI ✓","BELUM TERPENUHI ✗")</f>
        <v>YA TERPENUHI ✓</v>
      </c>
    </row>
    <row r="14" spans="1:6" ht="19.5" customHeight="1">
      <c r="A14" s="70" t="s">
        <v>451</v>
      </c>
      <c r="B14" s="71" t="s">
        <v>452</v>
      </c>
      <c r="C14" s="72" t="s">
        <v>453</v>
      </c>
      <c r="D14" s="73"/>
    </row>
    <row r="15" spans="1:6" ht="19.5" customHeight="1">
      <c r="A15" s="70" t="s">
        <v>454</v>
      </c>
      <c r="B15" s="71" t="s">
        <v>455</v>
      </c>
      <c r="C15" s="72" t="s">
        <v>456</v>
      </c>
      <c r="D15" s="73"/>
    </row>
    <row r="16" spans="1:6" ht="19.5" customHeight="1">
      <c r="A16" s="43" t="s">
        <v>457</v>
      </c>
      <c r="B16" s="74" t="s">
        <v>458</v>
      </c>
      <c r="C16" s="72" t="s">
        <v>459</v>
      </c>
      <c r="D16" s="73"/>
    </row>
    <row r="17" spans="1:4" ht="19.5" customHeight="1">
      <c r="A17" s="75" t="s">
        <v>460</v>
      </c>
      <c r="B17" s="76" t="s">
        <v>461</v>
      </c>
      <c r="C17" s="72" t="s">
        <v>462</v>
      </c>
      <c r="D17" s="73"/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"/>
  <sheetViews>
    <sheetView zoomScaleNormal="100" workbookViewId="0"/>
  </sheetViews>
  <sheetFormatPr defaultColWidth="8.7109375" defaultRowHeight="15"/>
  <cols>
    <col min="1" max="1" width="42" customWidth="1"/>
    <col min="2" max="3" width="22" customWidth="1"/>
    <col min="4" max="4" width="18" customWidth="1"/>
    <col min="5" max="5" width="12" customWidth="1"/>
    <col min="6" max="6" width="22" customWidth="1"/>
    <col min="7" max="7" width="40" customWidth="1"/>
  </cols>
  <sheetData>
    <row r="1" spans="1:7" ht="21.75" customHeight="1">
      <c r="A1" s="118" t="s">
        <v>463</v>
      </c>
      <c r="B1" s="118"/>
      <c r="C1" s="118"/>
      <c r="D1" s="118"/>
      <c r="E1" s="118"/>
      <c r="F1" s="118"/>
      <c r="G1" s="118"/>
    </row>
    <row r="2" spans="1:7" ht="6" customHeight="1"/>
    <row r="3" spans="1:7" ht="21.75" customHeight="1">
      <c r="A3" s="33" t="s">
        <v>156</v>
      </c>
      <c r="B3" s="33" t="s">
        <v>464</v>
      </c>
      <c r="C3" s="33" t="s">
        <v>465</v>
      </c>
      <c r="D3" s="33" t="s">
        <v>159</v>
      </c>
      <c r="E3" s="33" t="s">
        <v>160</v>
      </c>
      <c r="F3" s="33" t="s">
        <v>466</v>
      </c>
      <c r="G3" s="33" t="s">
        <v>467</v>
      </c>
    </row>
    <row r="4" spans="1:7" ht="18" customHeight="1">
      <c r="A4" s="15" t="s">
        <v>21</v>
      </c>
      <c r="B4" s="77">
        <f>'INPUT DATA'!B54</f>
        <v>87000000000</v>
      </c>
      <c r="C4" s="77">
        <f>'INPUT DATA'!C54</f>
        <v>88800000000</v>
      </c>
      <c r="D4" s="28">
        <f t="shared" ref="D4:D9" si="0">C4-B4</f>
        <v>1800000000</v>
      </c>
      <c r="E4" s="29">
        <f t="shared" ref="E4:E9" si="1">IF(B4=0,0,(C4-B4)/B4)</f>
        <v>2.0689655172413793E-2</v>
      </c>
      <c r="F4" s="78" t="str">
        <f t="shared" ref="F4:F9" si="2">IF(ABS(E4)&lt;=0.1,"DALAM BATAS ✓","MELAMPAUI BATAS ✗")</f>
        <v>DALAM BATAS ✓</v>
      </c>
      <c r="G4" s="79" t="str">
        <f t="shared" ref="G4:G9" si="3">IF(ABS(E4)&lt;=0.1,"Varians dalam toleransi ±10%","Deviasi "&amp;TEXT(E4,"0.00%")&amp;" — wajib penjelasan")</f>
        <v>Varians dalam toleransi ±10%</v>
      </c>
    </row>
    <row r="5" spans="1:7" ht="18" customHeight="1">
      <c r="A5" s="15" t="s">
        <v>161</v>
      </c>
      <c r="B5" s="77">
        <f>'INPUT DATA'!B55</f>
        <v>48800000000</v>
      </c>
      <c r="C5" s="77">
        <f>'INPUT DATA'!C55</f>
        <v>51000000000</v>
      </c>
      <c r="D5" s="28">
        <f t="shared" si="0"/>
        <v>2200000000</v>
      </c>
      <c r="E5" s="29">
        <f t="shared" si="1"/>
        <v>4.5081967213114756E-2</v>
      </c>
      <c r="F5" s="78" t="str">
        <f t="shared" si="2"/>
        <v>DALAM BATAS ✓</v>
      </c>
      <c r="G5" s="79" t="str">
        <f t="shared" si="3"/>
        <v>Varians dalam toleransi ±10%</v>
      </c>
    </row>
    <row r="6" spans="1:7" ht="18" customHeight="1">
      <c r="A6" s="15" t="s">
        <v>162</v>
      </c>
      <c r="B6" s="77">
        <f>'INPUT DATA'!B56</f>
        <v>12400000000</v>
      </c>
      <c r="C6" s="77">
        <f>'INPUT DATA'!C56</f>
        <v>13000000000</v>
      </c>
      <c r="D6" s="28">
        <f t="shared" si="0"/>
        <v>600000000</v>
      </c>
      <c r="E6" s="29">
        <f t="shared" si="1"/>
        <v>4.8387096774193547E-2</v>
      </c>
      <c r="F6" s="78" t="str">
        <f t="shared" si="2"/>
        <v>DALAM BATAS ✓</v>
      </c>
      <c r="G6" s="79" t="str">
        <f t="shared" si="3"/>
        <v>Varians dalam toleransi ±10%</v>
      </c>
    </row>
    <row r="7" spans="1:7" ht="18" customHeight="1">
      <c r="A7" s="15" t="s">
        <v>468</v>
      </c>
      <c r="B7" s="77">
        <f>'INPUT DATA'!B57</f>
        <v>12300000000</v>
      </c>
      <c r="C7" s="77">
        <f>'INPUT DATA'!C57</f>
        <v>13000000000</v>
      </c>
      <c r="D7" s="28">
        <f t="shared" si="0"/>
        <v>700000000</v>
      </c>
      <c r="E7" s="29">
        <f t="shared" si="1"/>
        <v>5.6910569105691054E-2</v>
      </c>
      <c r="F7" s="78" t="str">
        <f t="shared" si="2"/>
        <v>DALAM BATAS ✓</v>
      </c>
      <c r="G7" s="79" t="str">
        <f t="shared" si="3"/>
        <v>Varians dalam toleransi ±10%</v>
      </c>
    </row>
    <row r="8" spans="1:7" ht="18" customHeight="1">
      <c r="A8" s="15" t="s">
        <v>164</v>
      </c>
      <c r="B8" s="77">
        <f>'INPUT DATA'!B58</f>
        <v>6050000000</v>
      </c>
      <c r="C8" s="77">
        <f>'INPUT DATA'!C58</f>
        <v>6300000000</v>
      </c>
      <c r="D8" s="28">
        <f t="shared" si="0"/>
        <v>250000000</v>
      </c>
      <c r="E8" s="29">
        <f t="shared" si="1"/>
        <v>4.1322314049586778E-2</v>
      </c>
      <c r="F8" s="78" t="str">
        <f t="shared" si="2"/>
        <v>DALAM BATAS ✓</v>
      </c>
      <c r="G8" s="79" t="str">
        <f t="shared" si="3"/>
        <v>Varians dalam toleransi ±10%</v>
      </c>
    </row>
    <row r="9" spans="1:7" ht="18" customHeight="1">
      <c r="A9" s="15" t="s">
        <v>165</v>
      </c>
      <c r="B9" s="77">
        <f>'INPUT DATA'!B59</f>
        <v>84800000000</v>
      </c>
      <c r="C9" s="77">
        <f>'INPUT DATA'!C59</f>
        <v>88400000000</v>
      </c>
      <c r="D9" s="28">
        <f t="shared" si="0"/>
        <v>3600000000</v>
      </c>
      <c r="E9" s="29">
        <f t="shared" si="1"/>
        <v>4.2452830188679243E-2</v>
      </c>
      <c r="F9" s="78" t="str">
        <f t="shared" si="2"/>
        <v>DALAM BATAS ✓</v>
      </c>
      <c r="G9" s="79" t="str">
        <f t="shared" si="3"/>
        <v>Varians dalam toleransi ±10%</v>
      </c>
    </row>
    <row r="10" spans="1:7" ht="6" customHeight="1"/>
    <row r="11" spans="1:7" ht="24" customHeight="1">
      <c r="A11" s="67" t="s">
        <v>469</v>
      </c>
      <c r="B11" s="129"/>
      <c r="C11" s="129"/>
      <c r="D11" s="129"/>
      <c r="E11" s="66">
        <f>'INPUT DATA'!E60</f>
        <v>4.2474072083946525E-2</v>
      </c>
      <c r="F11" s="65" t="str">
        <f>IF(E11&lt;=0.1,"LAMEMBA: TERPENUHI ✓","LAMEMBA: BELUM TERPENUHI ✗")</f>
        <v>LAMEMBA: TERPENUHI ✓</v>
      </c>
    </row>
  </sheetData>
  <mergeCells count="2">
    <mergeCell ref="A1:G1"/>
    <mergeCell ref="B11:D1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9"/>
  <sheetViews>
    <sheetView zoomScaleNormal="100" workbookViewId="0"/>
  </sheetViews>
  <sheetFormatPr defaultColWidth="8.7109375" defaultRowHeight="15"/>
  <cols>
    <col min="1" max="1" width="36" customWidth="1"/>
    <col min="2" max="2" width="22" customWidth="1"/>
    <col min="3" max="3" width="14" customWidth="1"/>
    <col min="4" max="4" width="20" customWidth="1"/>
    <col min="5" max="5" width="18" customWidth="1"/>
    <col min="6" max="6" width="40" customWidth="1"/>
    <col min="7" max="7" width="6" customWidth="1"/>
  </cols>
  <sheetData>
    <row r="1" spans="1:7" ht="21.75" customHeight="1">
      <c r="A1" s="118" t="s">
        <v>470</v>
      </c>
      <c r="B1" s="118"/>
      <c r="C1" s="118"/>
      <c r="D1" s="118"/>
      <c r="E1" s="118"/>
      <c r="F1" s="118"/>
    </row>
    <row r="2" spans="1:7" ht="6" customHeight="1"/>
    <row r="3" spans="1:7" ht="21.75" customHeight="1">
      <c r="A3" s="33" t="s">
        <v>168</v>
      </c>
      <c r="B3" s="80">
        <f>'INPUT DATA'!B20</f>
        <v>51000000000</v>
      </c>
      <c r="C3" s="33" t="s">
        <v>170</v>
      </c>
      <c r="D3" s="33" t="s">
        <v>171</v>
      </c>
      <c r="E3" s="33" t="s">
        <v>172</v>
      </c>
      <c r="F3" s="33" t="s">
        <v>471</v>
      </c>
    </row>
    <row r="4" spans="1:7" ht="19.5" customHeight="1">
      <c r="A4" s="34" t="s">
        <v>173</v>
      </c>
      <c r="B4" s="77">
        <f>'INPUT DATA'!B64</f>
        <v>28050000000</v>
      </c>
      <c r="C4" s="81">
        <v>0.5</v>
      </c>
      <c r="D4" s="28">
        <f>B4*C4</f>
        <v>14025000000</v>
      </c>
      <c r="E4" s="29">
        <f>IF(SUM($B$4:$B$6)=0,0,B4/SUM($B$4:$B$6))</f>
        <v>0.55000000000000004</v>
      </c>
      <c r="F4" s="82" t="str">
        <f>IF(ABS(E4-C4)&lt;=0.1,"Proporsional ✓","Perlu rebalancing — selisih "&amp;TEXT(ABS(E4-C4),"0.0%"))</f>
        <v>Proporsional ✓</v>
      </c>
      <c r="G4" s="58">
        <f>IF(F4="Proporsional ✓",1,0)</f>
        <v>1</v>
      </c>
    </row>
    <row r="5" spans="1:7" ht="19.5" customHeight="1">
      <c r="A5" s="34" t="s">
        <v>174</v>
      </c>
      <c r="B5" s="77">
        <f>'INPUT DATA'!B65</f>
        <v>15300000000</v>
      </c>
      <c r="C5" s="81">
        <v>0.3</v>
      </c>
      <c r="D5" s="28">
        <f>B5*C5</f>
        <v>4590000000</v>
      </c>
      <c r="E5" s="29">
        <f>IF(SUM($B$4:$B$6)=0,0,B5/SUM($B$4:$B$6))</f>
        <v>0.3</v>
      </c>
      <c r="F5" s="82" t="str">
        <f>IF(ABS(E5-C5)&lt;=0.1,"Proporsional ✓","Perlu rebalancing — selisih "&amp;TEXT(ABS(E5-C5),"0.0%"))</f>
        <v>Proporsional ✓</v>
      </c>
      <c r="G5" s="58">
        <f>IF(F5="Proporsional ✓",1,0)</f>
        <v>1</v>
      </c>
    </row>
    <row r="6" spans="1:7" ht="19.5" customHeight="1">
      <c r="A6" s="34" t="s">
        <v>472</v>
      </c>
      <c r="B6" s="77">
        <f>'INPUT DATA'!B66</f>
        <v>7650000000</v>
      </c>
      <c r="C6" s="81">
        <v>0.2</v>
      </c>
      <c r="D6" s="28">
        <f>B6*C6</f>
        <v>1530000000</v>
      </c>
      <c r="E6" s="29">
        <f>IF(SUM($B$4:$B$6)=0,0,B6/SUM($B$4:$B$6))</f>
        <v>0.15</v>
      </c>
      <c r="F6" s="82" t="str">
        <f>IF(ABS(E6-C6)&lt;=0.1,"Proporsional ✓","Perlu rebalancing — selisih "&amp;TEXT(ABS(E6-C6),"0.0%"))</f>
        <v>Proporsional ✓</v>
      </c>
      <c r="G6" s="58">
        <f>IF(F6="Proporsional ✓",1,0)</f>
        <v>1</v>
      </c>
    </row>
    <row r="7" spans="1:7" ht="21.75" customHeight="1">
      <c r="A7" s="21" t="s">
        <v>473</v>
      </c>
      <c r="B7" s="22">
        <f>SUM(B4:B6)</f>
        <v>51000000000</v>
      </c>
      <c r="C7" s="83">
        <f>SUM(C4:C6)</f>
        <v>1</v>
      </c>
      <c r="D7" s="22">
        <f>SUM(D4:D6)</f>
        <v>20145000000</v>
      </c>
      <c r="E7" s="66">
        <f>SUM(E4:E6)</f>
        <v>1</v>
      </c>
    </row>
    <row r="8" spans="1:7" ht="6" customHeight="1"/>
    <row r="9" spans="1:7" ht="24" customHeight="1">
      <c r="A9" s="67" t="s">
        <v>474</v>
      </c>
      <c r="B9" s="84">
        <f>SUM(G4:G6)/3</f>
        <v>1</v>
      </c>
      <c r="C9" s="43" t="s">
        <v>475</v>
      </c>
      <c r="D9" s="69" t="str">
        <f>IF(B9=1,"YA TERPENUHI ✓","PERLU PENYESUAIAN")</f>
        <v>YA TERPENUHI ✓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9"/>
  <sheetViews>
    <sheetView zoomScaleNormal="100" workbookViewId="0">
      <selection activeCell="D4" sqref="D4"/>
    </sheetView>
  </sheetViews>
  <sheetFormatPr defaultColWidth="8.7109375" defaultRowHeight="15"/>
  <cols>
    <col min="1" max="1" width="24" customWidth="1"/>
    <col min="2" max="2" width="8" customWidth="1"/>
    <col min="3" max="3" width="58" customWidth="1"/>
    <col min="4" max="4" width="16" customWidth="1"/>
    <col min="5" max="5" width="18" customWidth="1"/>
    <col min="6" max="6" width="16" customWidth="1"/>
  </cols>
  <sheetData>
    <row r="1" spans="1:6" ht="21.75" customHeight="1">
      <c r="A1" s="118" t="s">
        <v>476</v>
      </c>
      <c r="B1" s="118"/>
      <c r="C1" s="118"/>
      <c r="D1" s="118"/>
      <c r="E1" s="118"/>
      <c r="F1" s="118"/>
    </row>
    <row r="2" spans="1:6" ht="6" customHeight="1"/>
    <row r="3" spans="1:6" ht="21.75" customHeight="1">
      <c r="A3" s="33" t="s">
        <v>477</v>
      </c>
      <c r="B3" s="33" t="s">
        <v>442</v>
      </c>
      <c r="C3" s="33" t="s">
        <v>478</v>
      </c>
      <c r="D3" s="33" t="s">
        <v>479</v>
      </c>
      <c r="E3" s="33" t="s">
        <v>480</v>
      </c>
      <c r="F3" s="33" t="s">
        <v>481</v>
      </c>
    </row>
    <row r="4" spans="1:6" ht="19.5" customHeight="1">
      <c r="A4" s="15" t="s">
        <v>482</v>
      </c>
      <c r="B4" s="85">
        <v>0.35</v>
      </c>
      <c r="C4" s="38" t="s">
        <v>483</v>
      </c>
      <c r="D4" s="86">
        <f>AVERAGE('HASIL RASIO'!J5:J8)</f>
        <v>75.563063063063069</v>
      </c>
      <c r="E4" s="57" t="s">
        <v>484</v>
      </c>
      <c r="F4" s="87" t="s">
        <v>485</v>
      </c>
    </row>
    <row r="5" spans="1:6" ht="19.5" customHeight="1">
      <c r="A5" s="15" t="s">
        <v>486</v>
      </c>
      <c r="B5" s="85">
        <v>0.25</v>
      </c>
      <c r="C5" s="38" t="s">
        <v>487</v>
      </c>
      <c r="D5" s="86">
        <f>AVERAGE('HASIL RASIO'!J11:J13)</f>
        <v>100</v>
      </c>
      <c r="E5" s="57" t="s">
        <v>488</v>
      </c>
      <c r="F5" s="87" t="s">
        <v>489</v>
      </c>
    </row>
    <row r="6" spans="1:6" ht="19.5" customHeight="1">
      <c r="A6" s="15" t="s">
        <v>490</v>
      </c>
      <c r="B6" s="85">
        <v>0.2</v>
      </c>
      <c r="C6" s="38" t="s">
        <v>491</v>
      </c>
      <c r="D6" s="86">
        <f>AVERAGE('HASIL RASIO'!J17:J19)</f>
        <v>59.159159159159152</v>
      </c>
      <c r="E6" s="57" t="s">
        <v>492</v>
      </c>
      <c r="F6" s="87" t="s">
        <v>493</v>
      </c>
    </row>
    <row r="7" spans="1:6" ht="19.5" customHeight="1">
      <c r="A7" s="15" t="s">
        <v>494</v>
      </c>
      <c r="B7" s="85">
        <v>0.15</v>
      </c>
      <c r="C7" s="38" t="s">
        <v>495</v>
      </c>
      <c r="D7" s="86">
        <f>AVERAGE('HASIL RASIO'!J25:J27)</f>
        <v>59.682539682539677</v>
      </c>
      <c r="E7" s="57" t="s">
        <v>496</v>
      </c>
      <c r="F7" s="87" t="s">
        <v>485</v>
      </c>
    </row>
    <row r="8" spans="1:6" ht="19.5" customHeight="1">
      <c r="A8" s="15" t="s">
        <v>497</v>
      </c>
      <c r="B8" s="85">
        <v>0.05</v>
      </c>
      <c r="C8" s="38" t="s">
        <v>498</v>
      </c>
      <c r="D8" s="86">
        <f>AVERAGE('HASIL RASIO'!J39:J41)</f>
        <v>53.820487153820487</v>
      </c>
      <c r="E8" s="57" t="s">
        <v>499</v>
      </c>
      <c r="F8" s="87" t="s">
        <v>500</v>
      </c>
    </row>
    <row r="9" spans="1:6" ht="24" customHeight="1">
      <c r="A9" s="21" t="s">
        <v>473</v>
      </c>
      <c r="B9" s="65" t="s">
        <v>501</v>
      </c>
      <c r="C9" s="88"/>
      <c r="D9" s="89">
        <f>(B4*D4)+(B5*D5)+(B6*D6)+(B7*D7)+(B8*D8)</f>
        <v>74.922309213975879</v>
      </c>
      <c r="F9" s="65" t="str">
        <f>IF(D9&gt;=85,"Sangat Baik ✓",IF(D9&gt;=70,"Baik ✓",IF(D9&gt;=50,"Perhatian","Berisiko ✗")))</f>
        <v>Baik ✓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9"/>
  <sheetViews>
    <sheetView zoomScaleNormal="100" workbookViewId="0"/>
  </sheetViews>
  <sheetFormatPr defaultColWidth="8.7109375" defaultRowHeight="15"/>
  <cols>
    <col min="1" max="1" width="4" customWidth="1"/>
    <col min="2" max="2" width="6" customWidth="1"/>
    <col min="3" max="3" width="34" customWidth="1"/>
    <col min="4" max="4" width="16" customWidth="1"/>
    <col min="5" max="5" width="22" customWidth="1"/>
    <col min="6" max="7" width="4" customWidth="1"/>
    <col min="8" max="8" width="6" customWidth="1"/>
    <col min="9" max="9" width="34" customWidth="1"/>
    <col min="10" max="10" width="16" customWidth="1"/>
    <col min="11" max="11" width="22" customWidth="1"/>
    <col min="12" max="12" width="6" customWidth="1"/>
  </cols>
  <sheetData>
    <row r="1" spans="1:12" ht="27.75" customHeight="1">
      <c r="A1" s="118" t="s">
        <v>502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</row>
    <row r="2" spans="1:12" ht="18" customHeight="1">
      <c r="A2" s="120" t="s">
        <v>503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</row>
    <row r="3" spans="1:12" ht="6" customHeight="1"/>
    <row r="4" spans="1:12" ht="21.75" customHeight="1">
      <c r="B4" s="90" t="s">
        <v>504</v>
      </c>
      <c r="D4" s="90" t="s">
        <v>505</v>
      </c>
      <c r="G4" s="90" t="s">
        <v>506</v>
      </c>
      <c r="J4" s="90" t="s">
        <v>507</v>
      </c>
    </row>
    <row r="5" spans="1:12" ht="30" customHeight="1">
      <c r="B5" s="91">
        <f>'HASIL RASIO'!E62</f>
        <v>6</v>
      </c>
      <c r="D5" s="92">
        <f>'HASIL RASIO'!F62</f>
        <v>0.6</v>
      </c>
      <c r="G5" s="93">
        <f>IKK!B12</f>
        <v>3.3258741258741256</v>
      </c>
      <c r="J5" s="92">
        <f>'HASIL RASIO'!E51</f>
        <v>0.90990990990990994</v>
      </c>
    </row>
    <row r="6" spans="1:12" ht="6" customHeight="1"/>
    <row r="7" spans="1:12" ht="21.75" customHeight="1">
      <c r="A7" s="126" t="s">
        <v>508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</row>
    <row r="8" spans="1:12" ht="18" customHeight="1">
      <c r="B8" s="94" t="s">
        <v>32</v>
      </c>
      <c r="C8" s="72" t="str">
        <f>'HASIL RASIO'!B51</f>
        <v>★ ★ Rasio Kemandirian Keuangan (RK)</v>
      </c>
      <c r="D8" s="62">
        <f>'HASIL RASIO'!E51</f>
        <v>0.90990990990990994</v>
      </c>
      <c r="E8" s="78" t="str">
        <f>'HASIL RASIO'!K51</f>
        <v>YA TERPENUHI ✓</v>
      </c>
      <c r="H8" s="94" t="s">
        <v>47</v>
      </c>
      <c r="I8" s="72" t="str">
        <f>'HASIL RASIO'!B56</f>
        <v>★ ★ Pertumbuhan Pendapatan Tahunan (GRR)</v>
      </c>
      <c r="J8" s="62">
        <f>'HASIL RASIO'!E56</f>
        <v>0.12121212121212122</v>
      </c>
      <c r="K8" s="78" t="str">
        <f>'HASIL RASIO'!K56</f>
        <v>YA TERPENUHI ✓</v>
      </c>
    </row>
    <row r="9" spans="1:12" ht="18" customHeight="1">
      <c r="B9" s="94" t="s">
        <v>35</v>
      </c>
      <c r="C9" s="72" t="str">
        <f>'HASIL RASIO'!B52</f>
        <v>★ ★ Rasio Efisiensi Operasional (REO)</v>
      </c>
      <c r="D9" s="62">
        <f>'HASIL RASIO'!E52</f>
        <v>0.57692307692307687</v>
      </c>
      <c r="E9" s="78" t="str">
        <f>'HASIL RASIO'!K52</f>
        <v>BELUM TERPENUHI ✗</v>
      </c>
      <c r="H9" s="94" t="s">
        <v>50</v>
      </c>
      <c r="I9" s="72" t="str">
        <f>'HASIL RASIO'!B57</f>
        <v>★ ★ Rasio Biaya per Mahasiswa (RBM)</v>
      </c>
      <c r="J9" s="77">
        <f>'HASIL RASIO'!E57</f>
        <v>21047619.047619049</v>
      </c>
      <c r="K9" s="78" t="str">
        <f>'HASIL RASIO'!K57</f>
        <v>"Lihat SPMI institusi"</v>
      </c>
    </row>
    <row r="10" spans="1:12" ht="18" customHeight="1">
      <c r="B10" s="94" t="s">
        <v>38</v>
      </c>
      <c r="C10" s="72" t="str">
        <f>'HASIL RASIO'!B53</f>
        <v>★ ★ Varians Anggaran (VA)</v>
      </c>
      <c r="D10" s="62">
        <f>'HASIL RASIO'!E53</f>
        <v>4.2474072083946525E-2</v>
      </c>
      <c r="E10" s="78" t="str">
        <f>'HASIL RASIO'!K53</f>
        <v>YA TERPENUHI ✓</v>
      </c>
      <c r="H10" s="94" t="s">
        <v>53</v>
      </c>
      <c r="I10" s="72" t="str">
        <f>'HASIL RASIO'!B58</f>
        <v>★ ★ Indeks Keberlanjutan Keuangan (IKK)</v>
      </c>
      <c r="J10" s="95">
        <f>IKK!B12</f>
        <v>3.3258741258741256</v>
      </c>
      <c r="K10" s="78" t="str">
        <f>'HASIL RASIO'!K58</f>
        <v>YA TERPENUHI ✓</v>
      </c>
    </row>
    <row r="11" spans="1:12" ht="18" customHeight="1">
      <c r="B11" s="94" t="s">
        <v>41</v>
      </c>
      <c r="C11" s="72" t="str">
        <f>'HASIL RASIO'!B54</f>
        <v>★ ★ Rasio Investasi SDM (RISDM)</v>
      </c>
      <c r="D11" s="62">
        <f>'HASIL RASIO'!E54</f>
        <v>0.14705882352941177</v>
      </c>
      <c r="E11" s="78" t="str">
        <f>'HASIL RASIO'!K54</f>
        <v>BELUM TERPENUHI ✗</v>
      </c>
      <c r="H11" s="94" t="s">
        <v>56</v>
      </c>
      <c r="I11" s="72" t="str">
        <f>'HASIL RASIO'!B59</f>
        <v>★ ★ Rasio Likuiditas Keuangan (RL)</v>
      </c>
      <c r="J11" s="96">
        <f>'HASIL RASIO'!E59</f>
        <v>2.3888888888888888</v>
      </c>
      <c r="K11" s="78" t="str">
        <f>'HASIL RASIO'!K59</f>
        <v>YA TERPENUHI ✓</v>
      </c>
    </row>
    <row r="12" spans="1:12" ht="18" customHeight="1">
      <c r="B12" s="94" t="s">
        <v>44</v>
      </c>
      <c r="C12" s="72" t="str">
        <f>'HASIL RASIO'!B55</f>
        <v>★ ★ Rasio Investasi Sarpras (RISP)</v>
      </c>
      <c r="D12" s="62">
        <f>'HASIL RASIO'!E55</f>
        <v>0.14705882352941177</v>
      </c>
      <c r="E12" s="78" t="str">
        <f>'HASIL RASIO'!K55</f>
        <v>BELUM TERPENUHI ✗</v>
      </c>
      <c r="H12" s="94" t="s">
        <v>59</v>
      </c>
      <c r="I12" s="72" t="str">
        <f>'HASIL RASIO'!B60</f>
        <v>★ ★ Alokasi Tridharma Terimbang (ATT)</v>
      </c>
      <c r="J12" s="95">
        <f>'HASIL RASIO'!E60</f>
        <v>1</v>
      </c>
      <c r="K12" s="78" t="str">
        <f>'HASIL RASIO'!K60</f>
        <v>YA TERPENUHI ✓</v>
      </c>
    </row>
    <row r="13" spans="1:12" ht="6" customHeight="1"/>
    <row r="14" spans="1:12" ht="21.75" customHeight="1">
      <c r="A14" s="119" t="s">
        <v>509</v>
      </c>
      <c r="B14" s="119"/>
      <c r="C14" s="119"/>
      <c r="D14" s="119"/>
      <c r="E14" s="119"/>
      <c r="F14" s="119"/>
      <c r="G14" s="119"/>
      <c r="H14" s="119"/>
      <c r="I14" s="119"/>
      <c r="J14" s="119"/>
      <c r="K14" s="119"/>
      <c r="L14" s="119"/>
    </row>
    <row r="15" spans="1:12" ht="19.5" customHeight="1">
      <c r="B15" s="33" t="s">
        <v>202</v>
      </c>
      <c r="C15" s="33" t="s">
        <v>510</v>
      </c>
      <c r="D15" s="33" t="s">
        <v>179</v>
      </c>
      <c r="E15" s="33" t="s">
        <v>511</v>
      </c>
      <c r="F15" s="33" t="s">
        <v>466</v>
      </c>
      <c r="G15" s="97" t="s">
        <v>512</v>
      </c>
      <c r="H15" s="33" t="s">
        <v>202</v>
      </c>
      <c r="I15" s="33" t="s">
        <v>510</v>
      </c>
      <c r="J15" s="33" t="s">
        <v>179</v>
      </c>
      <c r="K15" s="33" t="s">
        <v>511</v>
      </c>
      <c r="L15" s="33" t="s">
        <v>466</v>
      </c>
    </row>
    <row r="16" spans="1:12" ht="15.75" customHeight="1">
      <c r="B16" s="98" t="s">
        <v>210</v>
      </c>
      <c r="C16" s="72" t="s">
        <v>513</v>
      </c>
      <c r="D16" s="99">
        <f>'HASIL RASIO'!E5</f>
        <v>0.50904977375565608</v>
      </c>
      <c r="E16" s="100" t="s">
        <v>514</v>
      </c>
      <c r="F16" s="101" t="str">
        <f>'HASIL RASIO'!K5</f>
        <v>SEHAT ✓</v>
      </c>
      <c r="H16" s="98" t="s">
        <v>308</v>
      </c>
      <c r="I16" s="72" t="s">
        <v>515</v>
      </c>
      <c r="J16" s="102">
        <f>'HASIL RASIO'!E28</f>
        <v>7142857.1428571427</v>
      </c>
      <c r="K16" s="100" t="s">
        <v>516</v>
      </c>
      <c r="L16" s="101" t="str">
        <f>'HASIL RASIO'!K28</f>
        <v>"Lihat benchmark industri"</v>
      </c>
    </row>
    <row r="17" spans="2:12" ht="15.75" customHeight="1">
      <c r="B17" s="103" t="s">
        <v>216</v>
      </c>
      <c r="C17" s="104" t="s">
        <v>217</v>
      </c>
      <c r="D17" s="105">
        <f>'HASIL RASIO'!E6</f>
        <v>1.5</v>
      </c>
      <c r="E17" s="106" t="s">
        <v>517</v>
      </c>
      <c r="F17" s="107" t="str">
        <f>'HASIL RASIO'!K6</f>
        <v>SEHAT ✓</v>
      </c>
      <c r="H17" s="103" t="s">
        <v>315</v>
      </c>
      <c r="I17" s="104" t="s">
        <v>518</v>
      </c>
      <c r="J17" s="108">
        <f>'HASIL RASIO'!E31</f>
        <v>10000000</v>
      </c>
      <c r="K17" s="106" t="s">
        <v>519</v>
      </c>
      <c r="L17" s="107" t="str">
        <f>'HASIL RASIO'!K31</f>
        <v>"Lihat benchmark kategori"</v>
      </c>
    </row>
    <row r="18" spans="2:12" ht="15.75" customHeight="1">
      <c r="B18" s="98" t="s">
        <v>222</v>
      </c>
      <c r="C18" s="72" t="s">
        <v>520</v>
      </c>
      <c r="D18" s="109">
        <f>'HASIL RASIO'!E7</f>
        <v>7.9487179487179482E-2</v>
      </c>
      <c r="E18" s="100" t="s">
        <v>521</v>
      </c>
      <c r="F18" s="101" t="str">
        <f>'HASIL RASIO'!K7</f>
        <v>SEHAT ✓</v>
      </c>
      <c r="H18" s="98" t="s">
        <v>322</v>
      </c>
      <c r="I18" s="72" t="s">
        <v>522</v>
      </c>
      <c r="J18" s="109">
        <f>'HASIL RASIO'!E32</f>
        <v>5.8064516129032261E-2</v>
      </c>
      <c r="K18" s="100" t="s">
        <v>523</v>
      </c>
      <c r="L18" s="101" t="str">
        <f>'HASIL RASIO'!K32</f>
        <v>SEHAT ✓</v>
      </c>
    </row>
    <row r="19" spans="2:12" ht="15.75" customHeight="1">
      <c r="B19" s="103" t="s">
        <v>228</v>
      </c>
      <c r="C19" s="104" t="s">
        <v>524</v>
      </c>
      <c r="D19" s="110">
        <f>'HASIL RASIO'!E8</f>
        <v>4.5045045045045045E-3</v>
      </c>
      <c r="E19" s="106" t="s">
        <v>521</v>
      </c>
      <c r="F19" s="107" t="str">
        <f>'HASIL RASIO'!K8</f>
        <v>PERHATIAN</v>
      </c>
      <c r="H19" s="103" t="s">
        <v>330</v>
      </c>
      <c r="I19" s="104" t="s">
        <v>525</v>
      </c>
      <c r="J19" s="110">
        <f>'HASIL RASIO'!E33</f>
        <v>0.11612903225806452</v>
      </c>
      <c r="K19" s="106" t="s">
        <v>526</v>
      </c>
      <c r="L19" s="107" t="str">
        <f>'HASIL RASIO'!K33</f>
        <v>SEHAT ✓</v>
      </c>
    </row>
    <row r="20" spans="2:12" ht="15.75" customHeight="1">
      <c r="B20" s="98" t="s">
        <v>234</v>
      </c>
      <c r="C20" s="72" t="s">
        <v>235</v>
      </c>
      <c r="D20" s="99">
        <f>'HASIL RASIO'!E11</f>
        <v>2.6363636363636362</v>
      </c>
      <c r="E20" s="100" t="s">
        <v>527</v>
      </c>
      <c r="F20" s="101" t="str">
        <f>'HASIL RASIO'!K11</f>
        <v>SEHAT ✓</v>
      </c>
      <c r="H20" s="98" t="s">
        <v>337</v>
      </c>
      <c r="I20" s="72" t="s">
        <v>528</v>
      </c>
      <c r="J20" s="99">
        <f>'HASIL RASIO'!E34</f>
        <v>1.4</v>
      </c>
      <c r="K20" s="100" t="s">
        <v>529</v>
      </c>
      <c r="L20" s="101" t="str">
        <f>'HASIL RASIO'!K34</f>
        <v>PERHATIAN</v>
      </c>
    </row>
    <row r="21" spans="2:12" ht="15.75" customHeight="1">
      <c r="B21" s="103" t="s">
        <v>239</v>
      </c>
      <c r="C21" s="104" t="s">
        <v>530</v>
      </c>
      <c r="D21" s="105">
        <f>'HASIL RASIO'!E12</f>
        <v>140.38461538461539</v>
      </c>
      <c r="E21" s="106" t="s">
        <v>531</v>
      </c>
      <c r="F21" s="107" t="str">
        <f>'HASIL RASIO'!K12</f>
        <v>SEHAT ✓</v>
      </c>
      <c r="H21" s="103" t="s">
        <v>355</v>
      </c>
      <c r="I21" s="104" t="s">
        <v>532</v>
      </c>
      <c r="J21" s="110">
        <f>'HASIL RASIO'!E39</f>
        <v>0.7567567567567568</v>
      </c>
      <c r="K21" s="106" t="s">
        <v>533</v>
      </c>
      <c r="L21" s="107" t="str">
        <f>'HASIL RASIO'!K39</f>
        <v>BERISIKO ✗</v>
      </c>
    </row>
    <row r="22" spans="2:12" ht="15.75" customHeight="1">
      <c r="B22" s="98" t="s">
        <v>245</v>
      </c>
      <c r="C22" s="72" t="s">
        <v>534</v>
      </c>
      <c r="D22" s="99">
        <f>'HASIL RASIO'!E13</f>
        <v>0.66666666666666663</v>
      </c>
      <c r="E22" s="100" t="s">
        <v>535</v>
      </c>
      <c r="F22" s="101" t="str">
        <f>'HASIL RASIO'!K13</f>
        <v>SEHAT ✓</v>
      </c>
      <c r="H22" s="98" t="s">
        <v>360</v>
      </c>
      <c r="I22" s="72" t="s">
        <v>536</v>
      </c>
      <c r="J22" s="109">
        <f>'HASIL RASIO'!E40</f>
        <v>6.5315315315315314E-2</v>
      </c>
      <c r="K22" s="100" t="s">
        <v>537</v>
      </c>
      <c r="L22" s="101" t="str">
        <f>'HASIL RASIO'!K40</f>
        <v>PERHATIAN</v>
      </c>
    </row>
    <row r="23" spans="2:12" ht="15.75" customHeight="1">
      <c r="B23" s="103" t="s">
        <v>257</v>
      </c>
      <c r="C23" s="104" t="s">
        <v>23</v>
      </c>
      <c r="D23" s="110">
        <f>'HASIL RASIO'!E17</f>
        <v>4.5045045045045045E-3</v>
      </c>
      <c r="E23" s="106" t="s">
        <v>538</v>
      </c>
      <c r="F23" s="107" t="str">
        <f>'HASIL RASIO'!K17</f>
        <v>PERHATIAN</v>
      </c>
      <c r="H23" s="103" t="s">
        <v>366</v>
      </c>
      <c r="I23" s="104" t="s">
        <v>539</v>
      </c>
      <c r="J23" s="110">
        <f>'HASIL RASIO'!E41</f>
        <v>0.11261261261261261</v>
      </c>
      <c r="K23" s="106" t="s">
        <v>537</v>
      </c>
      <c r="L23" s="107" t="str">
        <f>'HASIL RASIO'!K41</f>
        <v>SEHAT ✓</v>
      </c>
    </row>
    <row r="24" spans="2:12" ht="15.75" customHeight="1">
      <c r="B24" s="98" t="s">
        <v>260</v>
      </c>
      <c r="C24" s="72" t="s">
        <v>540</v>
      </c>
      <c r="D24" s="109">
        <f>'HASIL RASIO'!E18</f>
        <v>7.1266968325791852E-2</v>
      </c>
      <c r="E24" s="100" t="s">
        <v>541</v>
      </c>
      <c r="F24" s="101" t="str">
        <f>'HASIL RASIO'!K18</f>
        <v>SEHAT ✓</v>
      </c>
      <c r="H24" s="98" t="s">
        <v>372</v>
      </c>
      <c r="I24" s="72" t="s">
        <v>542</v>
      </c>
      <c r="J24" s="109">
        <f>'HASIL RASIO'!E42</f>
        <v>0.10135135135135136</v>
      </c>
      <c r="K24" s="100" t="s">
        <v>543</v>
      </c>
      <c r="L24" s="101" t="str">
        <f>'HASIL RASIO'!K42</f>
        <v>PERHATIAN</v>
      </c>
    </row>
    <row r="25" spans="2:12" ht="15.75" customHeight="1">
      <c r="B25" s="103" t="s">
        <v>266</v>
      </c>
      <c r="C25" s="104" t="s">
        <v>544</v>
      </c>
      <c r="D25" s="110">
        <f>'HASIL RASIO'!E19</f>
        <v>0.56756756756756754</v>
      </c>
      <c r="E25" s="106" t="s">
        <v>545</v>
      </c>
      <c r="F25" s="107" t="str">
        <f>'HASIL RASIO'!K19</f>
        <v>RISIKO SEDANG</v>
      </c>
      <c r="H25" s="103" t="s">
        <v>380</v>
      </c>
      <c r="I25" s="104" t="s">
        <v>546</v>
      </c>
      <c r="J25" s="105">
        <f>'HASIL RASIO'!E45</f>
        <v>18.260869565217391</v>
      </c>
      <c r="K25" s="106" t="s">
        <v>547</v>
      </c>
      <c r="L25" s="107" t="str">
        <f>'HASIL RASIO'!K45</f>
        <v>SEHAT ✓</v>
      </c>
    </row>
    <row r="26" spans="2:12" ht="15.75" customHeight="1">
      <c r="B26" s="98" t="s">
        <v>272</v>
      </c>
      <c r="C26" s="72" t="s">
        <v>548</v>
      </c>
      <c r="D26" s="102">
        <f>'HASIL RASIO'!E20</f>
        <v>21047619.047619049</v>
      </c>
      <c r="E26" s="100" t="s">
        <v>549</v>
      </c>
      <c r="F26" s="101" t="str">
        <f>'HASIL RASIO'!K20</f>
        <v>"Lihat benchmark SPMI"</v>
      </c>
      <c r="H26" s="98" t="s">
        <v>387</v>
      </c>
      <c r="I26" s="72" t="s">
        <v>388</v>
      </c>
      <c r="J26" s="109">
        <f>'HASIL RASIO'!E46</f>
        <v>0.25</v>
      </c>
      <c r="K26" s="100" t="s">
        <v>550</v>
      </c>
      <c r="L26" s="101" t="str">
        <f>'HASIL RASIO'!K46</f>
        <v>PERHATIAN</v>
      </c>
    </row>
    <row r="27" spans="2:12" ht="15.75" customHeight="1">
      <c r="B27" s="103" t="s">
        <v>291</v>
      </c>
      <c r="C27" s="104" t="s">
        <v>551</v>
      </c>
      <c r="D27" s="105">
        <f>'HASIL RASIO'!E25</f>
        <v>1.3928571428571428</v>
      </c>
      <c r="E27" s="106" t="s">
        <v>552</v>
      </c>
      <c r="F27" s="107" t="str">
        <f>'HASIL RASIO'!K25</f>
        <v>PERHATIAN</v>
      </c>
      <c r="H27" s="103" t="s">
        <v>394</v>
      </c>
      <c r="I27" s="104" t="s">
        <v>553</v>
      </c>
      <c r="J27" s="108">
        <f>'HASIL RASIO'!E47</f>
        <v>12000000</v>
      </c>
      <c r="K27" s="106" t="s">
        <v>554</v>
      </c>
      <c r="L27" s="107" t="str">
        <f>'HASIL RASIO'!K47</f>
        <v>STABIL</v>
      </c>
    </row>
    <row r="28" spans="2:12" ht="15.75" customHeight="1">
      <c r="B28" s="98" t="s">
        <v>297</v>
      </c>
      <c r="C28" s="72" t="s">
        <v>555</v>
      </c>
      <c r="D28" s="109">
        <f>'HASIL RASIO'!E26</f>
        <v>0.16042780748663102</v>
      </c>
      <c r="E28" s="100" t="s">
        <v>556</v>
      </c>
      <c r="F28" s="101" t="str">
        <f>'HASIL RASIO'!K26</f>
        <v>SEHAT ✓</v>
      </c>
      <c r="H28" s="98" t="s">
        <v>401</v>
      </c>
      <c r="I28" s="72" t="s">
        <v>557</v>
      </c>
      <c r="J28" s="109">
        <f>'HASIL RASIO'!E48</f>
        <v>0.47511312217194568</v>
      </c>
      <c r="K28" s="100" t="s">
        <v>558</v>
      </c>
      <c r="L28" s="101" t="str">
        <f>'HASIL RASIO'!K48</f>
        <v>SEHAT ✓</v>
      </c>
    </row>
    <row r="29" spans="2:12" ht="15.75" customHeight="1">
      <c r="B29" s="103" t="s">
        <v>303</v>
      </c>
      <c r="C29" s="104" t="s">
        <v>559</v>
      </c>
      <c r="D29" s="105">
        <f>'HASIL RASIO'!E27</f>
        <v>2.6</v>
      </c>
      <c r="E29" s="106" t="s">
        <v>560</v>
      </c>
      <c r="F29" s="107" t="str">
        <f>'HASIL RASIO'!K27</f>
        <v>PERHATIAN</v>
      </c>
    </row>
  </sheetData>
  <mergeCells count="4">
    <mergeCell ref="A1:L1"/>
    <mergeCell ref="A2:L2"/>
    <mergeCell ref="A7:L7"/>
    <mergeCell ref="A14:L14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9"/>
  <sheetViews>
    <sheetView zoomScaleNormal="100" workbookViewId="0"/>
  </sheetViews>
  <sheetFormatPr defaultColWidth="8.7109375" defaultRowHeight="15"/>
  <cols>
    <col min="1" max="1" width="42" customWidth="1"/>
    <col min="2" max="3" width="14" customWidth="1"/>
    <col min="4" max="6" width="10" customWidth="1"/>
  </cols>
  <sheetData>
    <row r="1" spans="1:6" ht="21.75" customHeight="1">
      <c r="A1" s="118" t="s">
        <v>561</v>
      </c>
      <c r="B1" s="118"/>
      <c r="C1" s="118"/>
      <c r="D1" s="118"/>
      <c r="E1" s="118"/>
      <c r="F1" s="118"/>
    </row>
    <row r="2" spans="1:6" ht="6" customHeight="1"/>
    <row r="3" spans="1:6" ht="21.75" customHeight="1">
      <c r="A3" s="33" t="s">
        <v>562</v>
      </c>
      <c r="B3" s="33" t="s">
        <v>563</v>
      </c>
      <c r="C3" s="33" t="s">
        <v>481</v>
      </c>
      <c r="D3" s="33" t="s">
        <v>564</v>
      </c>
      <c r="E3" s="33" t="s">
        <v>565</v>
      </c>
      <c r="F3" s="33" t="s">
        <v>566</v>
      </c>
    </row>
    <row r="4" spans="1:6" ht="15.75" customHeight="1">
      <c r="A4" s="72" t="s">
        <v>211</v>
      </c>
      <c r="B4" s="101" t="s">
        <v>565</v>
      </c>
      <c r="C4" s="101" t="s">
        <v>485</v>
      </c>
      <c r="D4" s="87"/>
      <c r="E4" s="111" t="s">
        <v>567</v>
      </c>
      <c r="F4" s="87"/>
    </row>
    <row r="5" spans="1:6" ht="15.75" customHeight="1">
      <c r="A5" s="104" t="s">
        <v>217</v>
      </c>
      <c r="B5" s="107" t="s">
        <v>565</v>
      </c>
      <c r="C5" s="107" t="s">
        <v>485</v>
      </c>
      <c r="D5" s="78"/>
      <c r="E5" s="112" t="s">
        <v>567</v>
      </c>
      <c r="F5" s="78"/>
    </row>
    <row r="6" spans="1:6" ht="15.75" customHeight="1">
      <c r="A6" s="72" t="s">
        <v>223</v>
      </c>
      <c r="B6" s="101" t="s">
        <v>566</v>
      </c>
      <c r="C6" s="101" t="s">
        <v>485</v>
      </c>
      <c r="D6" s="87"/>
      <c r="E6" s="87"/>
      <c r="F6" s="111" t="s">
        <v>567</v>
      </c>
    </row>
    <row r="7" spans="1:6" ht="15.75" customHeight="1">
      <c r="A7" s="104" t="s">
        <v>229</v>
      </c>
      <c r="B7" s="107" t="s">
        <v>564</v>
      </c>
      <c r="C7" s="107" t="s">
        <v>568</v>
      </c>
      <c r="D7" s="112" t="s">
        <v>567</v>
      </c>
      <c r="E7" s="78"/>
      <c r="F7" s="78"/>
    </row>
    <row r="8" spans="1:6" ht="15.75" customHeight="1">
      <c r="A8" s="72" t="s">
        <v>235</v>
      </c>
      <c r="B8" s="101" t="s">
        <v>564</v>
      </c>
      <c r="C8" s="101" t="s">
        <v>569</v>
      </c>
      <c r="D8" s="111" t="s">
        <v>567</v>
      </c>
      <c r="E8" s="87"/>
      <c r="F8" s="87"/>
    </row>
    <row r="9" spans="1:6" ht="15.75" customHeight="1">
      <c r="A9" s="104" t="s">
        <v>240</v>
      </c>
      <c r="B9" s="107" t="s">
        <v>564</v>
      </c>
      <c r="C9" s="107" t="s">
        <v>569</v>
      </c>
      <c r="D9" s="112" t="s">
        <v>567</v>
      </c>
      <c r="E9" s="78"/>
      <c r="F9" s="78"/>
    </row>
    <row r="10" spans="1:6" ht="15.75" customHeight="1">
      <c r="A10" s="72" t="s">
        <v>246</v>
      </c>
      <c r="B10" s="101" t="s">
        <v>565</v>
      </c>
      <c r="C10" s="101" t="s">
        <v>485</v>
      </c>
      <c r="D10" s="87"/>
      <c r="E10" s="111" t="s">
        <v>567</v>
      </c>
      <c r="F10" s="87"/>
    </row>
    <row r="11" spans="1:6" ht="15.75" customHeight="1">
      <c r="A11" s="113" t="s">
        <v>570</v>
      </c>
      <c r="B11" s="114" t="s">
        <v>565</v>
      </c>
      <c r="C11" s="114" t="s">
        <v>485</v>
      </c>
      <c r="D11" s="94"/>
      <c r="E11" s="115" t="s">
        <v>567</v>
      </c>
      <c r="F11" s="94"/>
    </row>
    <row r="12" spans="1:6" ht="15.75" customHeight="1">
      <c r="A12" s="72" t="s">
        <v>23</v>
      </c>
      <c r="B12" s="101" t="s">
        <v>564</v>
      </c>
      <c r="C12" s="101" t="s">
        <v>568</v>
      </c>
      <c r="D12" s="111" t="s">
        <v>567</v>
      </c>
      <c r="E12" s="87"/>
      <c r="F12" s="87"/>
    </row>
    <row r="13" spans="1:6" ht="15.75" customHeight="1">
      <c r="A13" s="104" t="s">
        <v>261</v>
      </c>
      <c r="B13" s="107" t="s">
        <v>565</v>
      </c>
      <c r="C13" s="107" t="s">
        <v>485</v>
      </c>
      <c r="D13" s="78"/>
      <c r="E13" s="112" t="s">
        <v>567</v>
      </c>
      <c r="F13" s="78"/>
    </row>
    <row r="14" spans="1:6" ht="15.75" customHeight="1">
      <c r="A14" s="72" t="s">
        <v>267</v>
      </c>
      <c r="B14" s="101" t="s">
        <v>565</v>
      </c>
      <c r="C14" s="101" t="s">
        <v>485</v>
      </c>
      <c r="D14" s="87"/>
      <c r="E14" s="111" t="s">
        <v>567</v>
      </c>
      <c r="F14" s="87"/>
    </row>
    <row r="15" spans="1:6" ht="15.75" customHeight="1">
      <c r="A15" s="104" t="s">
        <v>571</v>
      </c>
      <c r="B15" s="107" t="s">
        <v>566</v>
      </c>
      <c r="C15" s="107" t="s">
        <v>568</v>
      </c>
      <c r="D15" s="78"/>
      <c r="E15" s="78"/>
      <c r="F15" s="112" t="s">
        <v>567</v>
      </c>
    </row>
    <row r="16" spans="1:6" ht="15.75" customHeight="1">
      <c r="A16" s="113" t="s">
        <v>572</v>
      </c>
      <c r="B16" s="114" t="s">
        <v>565</v>
      </c>
      <c r="C16" s="114" t="s">
        <v>485</v>
      </c>
      <c r="D16" s="94"/>
      <c r="E16" s="115" t="s">
        <v>567</v>
      </c>
      <c r="F16" s="94"/>
    </row>
    <row r="17" spans="1:6" ht="15.75" customHeight="1">
      <c r="A17" s="104" t="s">
        <v>292</v>
      </c>
      <c r="B17" s="107" t="s">
        <v>565</v>
      </c>
      <c r="C17" s="107" t="s">
        <v>485</v>
      </c>
      <c r="D17" s="78"/>
      <c r="E17" s="112" t="s">
        <v>567</v>
      </c>
      <c r="F17" s="78"/>
    </row>
    <row r="18" spans="1:6" ht="15.75" customHeight="1">
      <c r="A18" s="72" t="s">
        <v>298</v>
      </c>
      <c r="B18" s="101" t="s">
        <v>565</v>
      </c>
      <c r="C18" s="101" t="s">
        <v>485</v>
      </c>
      <c r="D18" s="87"/>
      <c r="E18" s="111" t="s">
        <v>567</v>
      </c>
      <c r="F18" s="87"/>
    </row>
    <row r="19" spans="1:6" ht="15.75" customHeight="1">
      <c r="A19" s="104" t="s">
        <v>304</v>
      </c>
      <c r="B19" s="107" t="s">
        <v>565</v>
      </c>
      <c r="C19" s="107" t="s">
        <v>485</v>
      </c>
      <c r="D19" s="78"/>
      <c r="E19" s="112" t="s">
        <v>567</v>
      </c>
      <c r="F19" s="78"/>
    </row>
    <row r="20" spans="1:6" ht="15.75" customHeight="1">
      <c r="A20" s="72" t="s">
        <v>309</v>
      </c>
      <c r="B20" s="101" t="s">
        <v>566</v>
      </c>
      <c r="C20" s="101" t="s">
        <v>485</v>
      </c>
      <c r="D20" s="87"/>
      <c r="E20" s="87"/>
      <c r="F20" s="111" t="s">
        <v>567</v>
      </c>
    </row>
    <row r="21" spans="1:6" ht="15.75" customHeight="1">
      <c r="A21" s="104" t="s">
        <v>316</v>
      </c>
      <c r="B21" s="107" t="s">
        <v>566</v>
      </c>
      <c r="C21" s="107" t="s">
        <v>573</v>
      </c>
      <c r="D21" s="78"/>
      <c r="E21" s="78"/>
      <c r="F21" s="112" t="s">
        <v>567</v>
      </c>
    </row>
    <row r="22" spans="1:6" ht="15.75" customHeight="1">
      <c r="A22" s="72" t="s">
        <v>323</v>
      </c>
      <c r="B22" s="101" t="s">
        <v>565</v>
      </c>
      <c r="C22" s="101" t="s">
        <v>573</v>
      </c>
      <c r="D22" s="87"/>
      <c r="E22" s="111" t="s">
        <v>567</v>
      </c>
      <c r="F22" s="87"/>
    </row>
    <row r="23" spans="1:6" ht="15.75" customHeight="1">
      <c r="A23" s="104" t="s">
        <v>574</v>
      </c>
      <c r="B23" s="107" t="s">
        <v>566</v>
      </c>
      <c r="C23" s="107" t="s">
        <v>573</v>
      </c>
      <c r="D23" s="78"/>
      <c r="E23" s="78"/>
      <c r="F23" s="112" t="s">
        <v>567</v>
      </c>
    </row>
    <row r="24" spans="1:6" ht="15.75" customHeight="1">
      <c r="A24" s="72" t="s">
        <v>575</v>
      </c>
      <c r="B24" s="101" t="s">
        <v>565</v>
      </c>
      <c r="C24" s="101" t="s">
        <v>576</v>
      </c>
      <c r="D24" s="87"/>
      <c r="E24" s="111" t="s">
        <v>567</v>
      </c>
      <c r="F24" s="87"/>
    </row>
    <row r="25" spans="1:6" ht="15.75" customHeight="1">
      <c r="A25" s="113" t="s">
        <v>577</v>
      </c>
      <c r="B25" s="114" t="s">
        <v>566</v>
      </c>
      <c r="C25" s="114" t="s">
        <v>485</v>
      </c>
      <c r="D25" s="94"/>
      <c r="E25" s="94"/>
      <c r="F25" s="115" t="s">
        <v>567</v>
      </c>
    </row>
    <row r="26" spans="1:6" ht="15.75" customHeight="1">
      <c r="A26" s="113" t="s">
        <v>578</v>
      </c>
      <c r="B26" s="114" t="s">
        <v>566</v>
      </c>
      <c r="C26" s="114" t="s">
        <v>485</v>
      </c>
      <c r="D26" s="94"/>
      <c r="E26" s="94"/>
      <c r="F26" s="115" t="s">
        <v>567</v>
      </c>
    </row>
    <row r="27" spans="1:6" ht="15.75" customHeight="1">
      <c r="A27" s="104" t="s">
        <v>356</v>
      </c>
      <c r="B27" s="107" t="s">
        <v>565</v>
      </c>
      <c r="C27" s="107" t="s">
        <v>485</v>
      </c>
      <c r="D27" s="78"/>
      <c r="E27" s="112" t="s">
        <v>567</v>
      </c>
      <c r="F27" s="78"/>
    </row>
    <row r="28" spans="1:6" ht="15.75" customHeight="1">
      <c r="A28" s="72" t="s">
        <v>361</v>
      </c>
      <c r="B28" s="101" t="s">
        <v>566</v>
      </c>
      <c r="C28" s="101" t="s">
        <v>579</v>
      </c>
      <c r="D28" s="87"/>
      <c r="E28" s="87"/>
      <c r="F28" s="111" t="s">
        <v>567</v>
      </c>
    </row>
    <row r="29" spans="1:6" ht="15.75" customHeight="1">
      <c r="A29" s="104" t="s">
        <v>367</v>
      </c>
      <c r="B29" s="107" t="s">
        <v>565</v>
      </c>
      <c r="C29" s="107" t="s">
        <v>580</v>
      </c>
      <c r="D29" s="78"/>
      <c r="E29" s="112" t="s">
        <v>567</v>
      </c>
      <c r="F29" s="78"/>
    </row>
    <row r="30" spans="1:6" ht="15.75" customHeight="1">
      <c r="A30" s="72" t="s">
        <v>373</v>
      </c>
      <c r="B30" s="101" t="s">
        <v>565</v>
      </c>
      <c r="C30" s="101" t="s">
        <v>485</v>
      </c>
      <c r="D30" s="87"/>
      <c r="E30" s="111" t="s">
        <v>567</v>
      </c>
      <c r="F30" s="87"/>
    </row>
    <row r="31" spans="1:6" ht="15.75" customHeight="1">
      <c r="A31" s="104" t="s">
        <v>381</v>
      </c>
      <c r="B31" s="107" t="s">
        <v>581</v>
      </c>
      <c r="C31" s="107" t="s">
        <v>582</v>
      </c>
      <c r="D31" s="78"/>
      <c r="E31" s="112" t="s">
        <v>567</v>
      </c>
      <c r="F31" s="78"/>
    </row>
    <row r="32" spans="1:6" ht="15.75" customHeight="1">
      <c r="A32" s="72" t="s">
        <v>583</v>
      </c>
      <c r="B32" s="101" t="s">
        <v>581</v>
      </c>
      <c r="C32" s="101" t="s">
        <v>584</v>
      </c>
      <c r="D32" s="87"/>
      <c r="E32" s="111" t="s">
        <v>567</v>
      </c>
      <c r="F32" s="87"/>
    </row>
    <row r="33" spans="1:6" ht="15.75" customHeight="1">
      <c r="A33" s="104" t="s">
        <v>395</v>
      </c>
      <c r="B33" s="107" t="s">
        <v>566</v>
      </c>
      <c r="C33" s="107" t="s">
        <v>485</v>
      </c>
      <c r="D33" s="78"/>
      <c r="E33" s="78"/>
      <c r="F33" s="112" t="s">
        <v>567</v>
      </c>
    </row>
    <row r="34" spans="1:6" ht="15.75" customHeight="1">
      <c r="A34" s="72" t="s">
        <v>402</v>
      </c>
      <c r="B34" s="101" t="s">
        <v>565</v>
      </c>
      <c r="C34" s="101" t="s">
        <v>585</v>
      </c>
      <c r="D34" s="87"/>
      <c r="E34" s="111" t="s">
        <v>567</v>
      </c>
      <c r="F34" s="87"/>
    </row>
    <row r="35" spans="1:6" ht="15.75" customHeight="1">
      <c r="A35" s="113" t="s">
        <v>586</v>
      </c>
      <c r="B35" s="114" t="s">
        <v>566</v>
      </c>
      <c r="C35" s="114" t="s">
        <v>585</v>
      </c>
      <c r="D35" s="94"/>
      <c r="E35" s="94"/>
      <c r="F35" s="115" t="s">
        <v>567</v>
      </c>
    </row>
    <row r="36" spans="1:6" ht="15.75" customHeight="1">
      <c r="A36" s="113" t="s">
        <v>587</v>
      </c>
      <c r="B36" s="114" t="s">
        <v>566</v>
      </c>
      <c r="C36" s="114" t="s">
        <v>485</v>
      </c>
      <c r="D36" s="94"/>
      <c r="E36" s="94"/>
      <c r="F36" s="115" t="s">
        <v>567</v>
      </c>
    </row>
    <row r="37" spans="1:6" ht="15.75" customHeight="1">
      <c r="A37" s="113" t="s">
        <v>588</v>
      </c>
      <c r="B37" s="114" t="s">
        <v>565</v>
      </c>
      <c r="C37" s="114" t="s">
        <v>568</v>
      </c>
      <c r="D37" s="94"/>
      <c r="E37" s="115" t="s">
        <v>567</v>
      </c>
      <c r="F37" s="94"/>
    </row>
    <row r="38" spans="1:6" ht="15.75" customHeight="1">
      <c r="A38" s="113" t="s">
        <v>589</v>
      </c>
      <c r="B38" s="114" t="s">
        <v>566</v>
      </c>
      <c r="C38" s="114" t="s">
        <v>485</v>
      </c>
      <c r="D38" s="94"/>
      <c r="E38" s="94"/>
      <c r="F38" s="115" t="s">
        <v>567</v>
      </c>
    </row>
    <row r="39" spans="1:6" ht="15.75" customHeight="1">
      <c r="A39" s="113" t="s">
        <v>590</v>
      </c>
      <c r="B39" s="114" t="s">
        <v>566</v>
      </c>
      <c r="C39" s="114" t="s">
        <v>591</v>
      </c>
      <c r="D39" s="94"/>
      <c r="E39" s="94"/>
      <c r="F39" s="115" t="s">
        <v>567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2026-04-04T08:55:08Z</dcterms:created>
  <dcterms:modified xsi:type="dcterms:W3CDTF">2026-05-01T13:09:47Z</dcterms:modified>
  <cp:category/>
  <cp:contentStatus/>
</cp:coreProperties>
</file>