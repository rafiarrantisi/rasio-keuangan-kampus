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94A733C8-D03A-4243-BE97-70FD60A830E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ANDUAN" sheetId="1" r:id="rId1"/>
    <sheet name="INPUT DATA" sheetId="2" r:id="rId2"/>
    <sheet name="HASIL RASIO" sheetId="3" r:id="rId3"/>
    <sheet name="IKK" sheetId="4" r:id="rId4"/>
    <sheet name="VARIANS ANGGARAN" sheetId="5" r:id="rId5"/>
    <sheet name="TRIDHARMA ATT" sheetId="6" r:id="rId6"/>
    <sheet name="SCORECARD CFI" sheetId="7" r:id="rId7"/>
    <sheet name="DASHBOARD" sheetId="8" r:id="rId8"/>
    <sheet name="JADWAL MONITORING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" i="8" l="1"/>
  <c r="L17" i="8"/>
  <c r="L16" i="8"/>
  <c r="I12" i="8"/>
  <c r="C12" i="8"/>
  <c r="I11" i="8"/>
  <c r="C11" i="8"/>
  <c r="I10" i="8"/>
  <c r="C10" i="8"/>
  <c r="K9" i="8"/>
  <c r="I9" i="8"/>
  <c r="C9" i="8"/>
  <c r="I8" i="8"/>
  <c r="C8" i="8"/>
  <c r="C7" i="6"/>
  <c r="B6" i="6"/>
  <c r="D6" i="6" s="1"/>
  <c r="B5" i="6"/>
  <c r="D5" i="6" s="1"/>
  <c r="B4" i="6"/>
  <c r="B3" i="6"/>
  <c r="B9" i="5"/>
  <c r="B8" i="5"/>
  <c r="B7" i="5"/>
  <c r="B6" i="5"/>
  <c r="B5" i="5"/>
  <c r="B4" i="5"/>
  <c r="E10" i="4"/>
  <c r="G46" i="3"/>
  <c r="F46" i="3"/>
  <c r="E46" i="3"/>
  <c r="G45" i="3"/>
  <c r="F45" i="3"/>
  <c r="E45" i="3"/>
  <c r="G34" i="3"/>
  <c r="F34" i="3"/>
  <c r="E34" i="3"/>
  <c r="G31" i="3"/>
  <c r="F31" i="3"/>
  <c r="E31" i="3"/>
  <c r="J17" i="8" s="1"/>
  <c r="G28" i="3"/>
  <c r="F28" i="3"/>
  <c r="E28" i="3"/>
  <c r="J16" i="8" s="1"/>
  <c r="G13" i="3"/>
  <c r="F13" i="3"/>
  <c r="E13" i="3"/>
  <c r="G11" i="3"/>
  <c r="F11" i="3"/>
  <c r="E11" i="3"/>
  <c r="G7" i="3"/>
  <c r="F7" i="3"/>
  <c r="E7" i="3"/>
  <c r="G6" i="3"/>
  <c r="F6" i="3"/>
  <c r="E6" i="3"/>
  <c r="C67" i="2"/>
  <c r="B67" i="2"/>
  <c r="E66" i="2"/>
  <c r="D66" i="2"/>
  <c r="E65" i="2"/>
  <c r="D65" i="2"/>
  <c r="E64" i="2"/>
  <c r="E67" i="2" s="1"/>
  <c r="D64" i="2"/>
  <c r="D67" i="2" s="1"/>
  <c r="C58" i="2"/>
  <c r="C57" i="2"/>
  <c r="C56" i="2"/>
  <c r="C55" i="2"/>
  <c r="B50" i="2"/>
  <c r="D49" i="2"/>
  <c r="C49" i="2"/>
  <c r="B49" i="2"/>
  <c r="D40" i="2"/>
  <c r="G26" i="3" s="1"/>
  <c r="C40" i="2"/>
  <c r="F26" i="3" s="1"/>
  <c r="B40" i="2"/>
  <c r="E26" i="3" s="1"/>
  <c r="D30" i="2"/>
  <c r="C30" i="2"/>
  <c r="B30" i="2"/>
  <c r="D16" i="2"/>
  <c r="C16" i="2"/>
  <c r="B16" i="2"/>
  <c r="D15" i="2"/>
  <c r="C15" i="2"/>
  <c r="B15" i="2"/>
  <c r="D14" i="2"/>
  <c r="C14" i="2"/>
  <c r="B14" i="2"/>
  <c r="E47" i="3" l="1"/>
  <c r="E19" i="3"/>
  <c r="F47" i="3"/>
  <c r="F19" i="3"/>
  <c r="G47" i="3"/>
  <c r="G19" i="3"/>
  <c r="E51" i="3"/>
  <c r="E37" i="3"/>
  <c r="K37" i="3" s="1"/>
  <c r="F51" i="3"/>
  <c r="F37" i="3"/>
  <c r="G51" i="3"/>
  <c r="G37" i="3"/>
  <c r="J5" i="8"/>
  <c r="E56" i="3"/>
  <c r="E42" i="3"/>
  <c r="E41" i="3"/>
  <c r="E40" i="3"/>
  <c r="E39" i="3"/>
  <c r="E38" i="3"/>
  <c r="K38" i="3" s="1"/>
  <c r="E25" i="3"/>
  <c r="E17" i="3"/>
  <c r="E8" i="3"/>
  <c r="B77" i="2"/>
  <c r="E27" i="3" s="1"/>
  <c r="C54" i="2"/>
  <c r="F56" i="3"/>
  <c r="F42" i="3"/>
  <c r="F41" i="3"/>
  <c r="F40" i="3"/>
  <c r="F39" i="3"/>
  <c r="F38" i="3"/>
  <c r="F25" i="3"/>
  <c r="F17" i="3"/>
  <c r="F8" i="3"/>
  <c r="C77" i="2"/>
  <c r="F27" i="3" s="1"/>
  <c r="G42" i="3"/>
  <c r="G41" i="3"/>
  <c r="G40" i="3"/>
  <c r="G39" i="3"/>
  <c r="G25" i="3"/>
  <c r="G17" i="3"/>
  <c r="G8" i="3"/>
  <c r="D77" i="2"/>
  <c r="G27" i="3" s="1"/>
  <c r="E57" i="3"/>
  <c r="J9" i="8" s="1"/>
  <c r="E55" i="3"/>
  <c r="E54" i="3"/>
  <c r="E52" i="3"/>
  <c r="E48" i="3"/>
  <c r="E22" i="3"/>
  <c r="E21" i="3"/>
  <c r="E20" i="3"/>
  <c r="D26" i="8" s="1"/>
  <c r="E18" i="3"/>
  <c r="E12" i="3"/>
  <c r="E5" i="3"/>
  <c r="C59" i="2"/>
  <c r="F57" i="3"/>
  <c r="F55" i="3"/>
  <c r="F54" i="3"/>
  <c r="F52" i="3"/>
  <c r="F48" i="3"/>
  <c r="F22" i="3"/>
  <c r="F21" i="3"/>
  <c r="F20" i="3"/>
  <c r="F18" i="3"/>
  <c r="F12" i="3"/>
  <c r="F5" i="3"/>
  <c r="G57" i="3"/>
  <c r="G55" i="3"/>
  <c r="G54" i="3"/>
  <c r="G52" i="3"/>
  <c r="G48" i="3"/>
  <c r="G22" i="3"/>
  <c r="G21" i="3"/>
  <c r="G20" i="3"/>
  <c r="G18" i="3"/>
  <c r="G12" i="3"/>
  <c r="G5" i="3"/>
  <c r="D28" i="8"/>
  <c r="K26" i="3"/>
  <c r="F28" i="8" s="1"/>
  <c r="J26" i="3"/>
  <c r="E59" i="3"/>
  <c r="E14" i="3"/>
  <c r="F59" i="3"/>
  <c r="F14" i="3"/>
  <c r="G59" i="3"/>
  <c r="G14" i="3"/>
  <c r="E33" i="3"/>
  <c r="E32" i="3"/>
  <c r="C5" i="5"/>
  <c r="D5" i="5" s="1"/>
  <c r="E55" i="2"/>
  <c r="D55" i="2"/>
  <c r="C6" i="5"/>
  <c r="D6" i="5" s="1"/>
  <c r="E56" i="2"/>
  <c r="D56" i="2"/>
  <c r="C7" i="5"/>
  <c r="D7" i="5" s="1"/>
  <c r="E57" i="2"/>
  <c r="D57" i="2"/>
  <c r="C8" i="5"/>
  <c r="D8" i="5" s="1"/>
  <c r="E58" i="2"/>
  <c r="D58" i="2"/>
  <c r="D17" i="8"/>
  <c r="K6" i="3"/>
  <c r="F17" i="8" s="1"/>
  <c r="J6" i="3"/>
  <c r="D18" i="8"/>
  <c r="K7" i="3"/>
  <c r="F18" i="8" s="1"/>
  <c r="J7" i="3"/>
  <c r="D20" i="8"/>
  <c r="K11" i="3"/>
  <c r="F20" i="8" s="1"/>
  <c r="J11" i="3"/>
  <c r="D22" i="8"/>
  <c r="K13" i="3"/>
  <c r="F22" i="8" s="1"/>
  <c r="J13" i="3"/>
  <c r="J20" i="8"/>
  <c r="K34" i="3"/>
  <c r="L20" i="8" s="1"/>
  <c r="J25" i="8"/>
  <c r="K45" i="3"/>
  <c r="L25" i="8" s="1"/>
  <c r="J26" i="8"/>
  <c r="K46" i="3"/>
  <c r="L26" i="8" s="1"/>
  <c r="E5" i="5"/>
  <c r="E6" i="5"/>
  <c r="E7" i="5"/>
  <c r="E8" i="5"/>
  <c r="B7" i="6"/>
  <c r="E6" i="6"/>
  <c r="F6" i="6" s="1"/>
  <c r="G6" i="6" s="1"/>
  <c r="E5" i="6"/>
  <c r="F5" i="6" s="1"/>
  <c r="G5" i="6" s="1"/>
  <c r="E4" i="6"/>
  <c r="D4" i="6"/>
  <c r="D7" i="6" s="1"/>
  <c r="E7" i="6" l="1"/>
  <c r="F4" i="6"/>
  <c r="G4" i="6" s="1"/>
  <c r="B9" i="6" s="1"/>
  <c r="G8" i="5"/>
  <c r="F8" i="5"/>
  <c r="G7" i="5"/>
  <c r="F7" i="5"/>
  <c r="G6" i="5"/>
  <c r="F6" i="5"/>
  <c r="G5" i="5"/>
  <c r="F5" i="5"/>
  <c r="J18" i="8"/>
  <c r="K32" i="3"/>
  <c r="L18" i="8" s="1"/>
  <c r="J19" i="8"/>
  <c r="K33" i="3"/>
  <c r="L19" i="8" s="1"/>
  <c r="K14" i="3"/>
  <c r="J14" i="3"/>
  <c r="J11" i="8"/>
  <c r="B7" i="4"/>
  <c r="D7" i="4" s="1"/>
  <c r="F7" i="4" s="1"/>
  <c r="K59" i="3"/>
  <c r="K11" i="8" s="1"/>
  <c r="C9" i="5"/>
  <c r="E59" i="2"/>
  <c r="D59" i="2"/>
  <c r="D16" i="8"/>
  <c r="K5" i="3"/>
  <c r="F16" i="8" s="1"/>
  <c r="J5" i="3"/>
  <c r="D21" i="8"/>
  <c r="K12" i="3"/>
  <c r="F21" i="8" s="1"/>
  <c r="J12" i="3"/>
  <c r="D5" i="7" s="1"/>
  <c r="D24" i="8"/>
  <c r="K18" i="3"/>
  <c r="F24" i="8" s="1"/>
  <c r="J18" i="3"/>
  <c r="K21" i="3"/>
  <c r="J21" i="3"/>
  <c r="J28" i="8"/>
  <c r="K48" i="3"/>
  <c r="L28" i="8" s="1"/>
  <c r="D9" i="8"/>
  <c r="B6" i="4"/>
  <c r="D6" i="4" s="1"/>
  <c r="F6" i="4" s="1"/>
  <c r="K52" i="3"/>
  <c r="E9" i="8" s="1"/>
  <c r="D11" i="8"/>
  <c r="K54" i="3"/>
  <c r="E11" i="8" s="1"/>
  <c r="D12" i="8"/>
  <c r="K55" i="3"/>
  <c r="E12" i="8" s="1"/>
  <c r="C4" i="5"/>
  <c r="E54" i="2"/>
  <c r="E60" i="2" s="1"/>
  <c r="D54" i="2"/>
  <c r="D29" i="8"/>
  <c r="K27" i="3"/>
  <c r="F29" i="8" s="1"/>
  <c r="J27" i="3"/>
  <c r="D19" i="8"/>
  <c r="K8" i="3"/>
  <c r="F19" i="8" s="1"/>
  <c r="J8" i="3"/>
  <c r="D23" i="8"/>
  <c r="K17" i="3"/>
  <c r="F23" i="8" s="1"/>
  <c r="J17" i="3"/>
  <c r="D27" i="8"/>
  <c r="K25" i="3"/>
  <c r="F27" i="8" s="1"/>
  <c r="J25" i="3"/>
  <c r="D7" i="7" s="1"/>
  <c r="J21" i="8"/>
  <c r="K39" i="3"/>
  <c r="L21" i="8" s="1"/>
  <c r="J39" i="3"/>
  <c r="J22" i="8"/>
  <c r="K40" i="3"/>
  <c r="L22" i="8" s="1"/>
  <c r="J40" i="3"/>
  <c r="J23" i="8"/>
  <c r="K41" i="3"/>
  <c r="L23" i="8" s="1"/>
  <c r="J41" i="3"/>
  <c r="J24" i="8"/>
  <c r="K42" i="3"/>
  <c r="L24" i="8" s="1"/>
  <c r="J8" i="8"/>
  <c r="B8" i="4"/>
  <c r="D8" i="4" s="1"/>
  <c r="F8" i="4" s="1"/>
  <c r="K56" i="3"/>
  <c r="K8" i="8" s="1"/>
  <c r="D8" i="8"/>
  <c r="B5" i="4"/>
  <c r="D5" i="4" s="1"/>
  <c r="F5" i="4" s="1"/>
  <c r="F10" i="4" s="1"/>
  <c r="B12" i="4" s="1"/>
  <c r="K51" i="3"/>
  <c r="D25" i="8"/>
  <c r="K19" i="3"/>
  <c r="F25" i="8" s="1"/>
  <c r="J19" i="3"/>
  <c r="J27" i="8"/>
  <c r="K47" i="3"/>
  <c r="L27" i="8" s="1"/>
  <c r="E8" i="8" l="1"/>
  <c r="J10" i="8"/>
  <c r="G5" i="8"/>
  <c r="D12" i="4"/>
  <c r="K58" i="3"/>
  <c r="K10" i="8" s="1"/>
  <c r="E58" i="3"/>
  <c r="D8" i="7"/>
  <c r="D6" i="7"/>
  <c r="E11" i="5"/>
  <c r="F11" i="5" s="1"/>
  <c r="E53" i="3"/>
  <c r="D4" i="5"/>
  <c r="E4" i="5"/>
  <c r="D4" i="7"/>
  <c r="D9" i="7" s="1"/>
  <c r="F9" i="7" s="1"/>
  <c r="D9" i="5"/>
  <c r="E9" i="5"/>
  <c r="D9" i="6"/>
  <c r="E60" i="3"/>
  <c r="J12" i="8" l="1"/>
  <c r="K60" i="3"/>
  <c r="K12" i="8" s="1"/>
  <c r="G9" i="5"/>
  <c r="F9" i="5"/>
  <c r="G4" i="5"/>
  <c r="F4" i="5"/>
  <c r="D10" i="8"/>
  <c r="K53" i="3"/>
  <c r="E10" i="8" l="1"/>
  <c r="E62" i="3"/>
  <c r="B5" i="8" l="1"/>
  <c r="F62" i="3"/>
  <c r="D5" i="8" s="1"/>
</calcChain>
</file>

<file path=xl/sharedStrings.xml><?xml version="1.0" encoding="utf-8"?>
<sst xmlns="http://schemas.openxmlformats.org/spreadsheetml/2006/main" count="1024" uniqueCount="665">
  <si>
    <t>PANDUAN PENGGUNAAN — INSTRUMEN KEUANGAN LAMEMBA (PREDIKAT PERHATIAN)</t>
  </si>
  <si>
    <t xml:space="preserve">  KONTEKS DAN ASUMSI DATA — PREDIKAT PERHATIAN</t>
  </si>
  <si>
    <t>Institusi</t>
  </si>
  <si>
    <t>PTS Kecil-Menengah, Kota Tier 2/3 atau Pulau Jawa — Tahun Akademik 2024/2025</t>
  </si>
  <si>
    <t>Jumlah Mahasiswa TS</t>
  </si>
  <si>
    <t>2.800 FTE (TS), 2.600 FTE (TS-1), 2.400 FTE (TS-2) — pertumbuhan lambat ~8%/tahun</t>
  </si>
  <si>
    <t>SPP / UKT</t>
  </si>
  <si>
    <t>Rp 6.000.000/semester = Rp 12.000.000/tahun. SPP Gross = 2.800 × Rp 12 jt = Rp 33,6 Miliar</t>
  </si>
  <si>
    <t>Beasiswa / Discount Rate</t>
  </si>
  <si>
    <t>28% — lebih tinggi dari BAIK, segmen mahasiswa lebih price-sensitive. Net SPP = Rp 24,2 M</t>
  </si>
  <si>
    <t>Total Pendapatan TS</t>
  </si>
  <si>
    <t>Rp 41.392.000.000 (Rp 41,4 Miliar) — Rp 14,8 jt/mhs/thn (sangat bergantung SPP)</t>
  </si>
  <si>
    <t>Total Pengeluaran TS</t>
  </si>
  <si>
    <t>Rp 41.150.000.000 (Rp 41,2 Miliar) — Operating Margin hanya 0,58% (sangat tipis!)</t>
  </si>
  <si>
    <t>Jumlah Dosen Tetap</t>
  </si>
  <si>
    <t>185 dosen FTE — Rasio Dosen-Mahasiswa 15,1:1 (masih dalam range aman)</t>
  </si>
  <si>
    <t>Sinyal Perhatian</t>
  </si>
  <si>
    <t>Margin tipis, utang relatif besar, investasi SDM &amp; sarpras rendah, endowment sangat kecil.</t>
  </si>
  <si>
    <t xml:space="preserve">  PERBANDINGAN TIGA PREDIKAT — HIERARKI RASIONAL</t>
  </si>
  <si>
    <t>Mahasiswa FTE</t>
  </si>
  <si>
    <t>6.000</t>
  </si>
  <si>
    <t>BAIK: 4.200   |   PERHATIAN: 2.800</t>
  </si>
  <si>
    <t>SPP/semester</t>
  </si>
  <si>
    <t>Rp 10 juta</t>
  </si>
  <si>
    <t>BAIK: Rp 8 juta   |   PERHATIAN: Rp 6 juta</t>
  </si>
  <si>
    <t>Total Pendapatan</t>
  </si>
  <si>
    <t>Rp 175 M</t>
  </si>
  <si>
    <t>BAIK: Rp 90,8 M   |   PERHATIAN: Rp 41,4 M</t>
  </si>
  <si>
    <t>Operating Margin</t>
  </si>
  <si>
    <t>5,20%</t>
  </si>
  <si>
    <t>BAIK: 2,64%   |   PERHATIAN: 0,58% ⚠️</t>
  </si>
  <si>
    <t>Tuition Dependency</t>
  </si>
  <si>
    <t>51,4%</t>
  </si>
  <si>
    <t>BAIK: 55,5%   |   PERHATIAN: 58,5% ⚠️</t>
  </si>
  <si>
    <t>Endowment</t>
  </si>
  <si>
    <t>Rp 112 M</t>
  </si>
  <si>
    <t>BAIK: Rp 42 M   |   PERHATIAN: Rp 8 M ⚠️</t>
  </si>
  <si>
    <t>Days Cash</t>
  </si>
  <si>
    <t>154 hari</t>
  </si>
  <si>
    <t>BAIK: 140 hari   |   PERHATIAN: 159 hari ✓</t>
  </si>
  <si>
    <t>ICR</t>
  </si>
  <si>
    <t>11,92×</t>
  </si>
  <si>
    <t>BAIK: 3,93×   |   PERHATIAN: 1,78× ⚠️</t>
  </si>
  <si>
    <t>DSCR</t>
  </si>
  <si>
    <t>3,82×</t>
  </si>
  <si>
    <t>BAIK: 2,11×   |   PERHATIAN: 1,29× ⚠️</t>
  </si>
  <si>
    <t>LAMEMBA terpenuhi</t>
  </si>
  <si>
    <t>8/10</t>
  </si>
  <si>
    <t>BAIK: 6/10   |   PERHATIAN: 4-5/10 ⚠️</t>
  </si>
  <si>
    <t xml:space="preserve">  10 INDIKATOR LAMEMBA — STATUS PREDIKAT PERHATIAN</t>
  </si>
  <si>
    <t>L1</t>
  </si>
  <si>
    <t>Rasio Kemandirian (RK) (≥ 30%)</t>
  </si>
  <si>
    <t>✓  86,71% — masih terpenuhi ✓</t>
  </si>
  <si>
    <t>L2</t>
  </si>
  <si>
    <t>Rasio Efisiensi Operasional (REO) (≥ 65%)</t>
  </si>
  <si>
    <t>✗  58,32% — belum terpenuhi (struktural) ✗</t>
  </si>
  <si>
    <t>L3</t>
  </si>
  <si>
    <t>Varians Anggaran (VA) (≤ ±10%)</t>
  </si>
  <si>
    <t>✓  7,59% — terpenuhi tapi mendekati batas ✓</t>
  </si>
  <si>
    <t>L4</t>
  </si>
  <si>
    <t>Rasio Investasi SDM (RISDM) (≥ 15%)</t>
  </si>
  <si>
    <t>✗  12,64% — tidak terpenuhi, investasi SDM minimal ✗</t>
  </si>
  <si>
    <t>L5</t>
  </si>
  <si>
    <t>Rasio Investasi Sarpras (RISP) (≥ 20%)</t>
  </si>
  <si>
    <t>✗  11,18% — tidak terpenuhi, infrastruktur kritis ✗</t>
  </si>
  <si>
    <t>L6</t>
  </si>
  <si>
    <t>Pertumbuhan Pendapatan (GRR) (≥ 5%)</t>
  </si>
  <si>
    <t>✓  9,78% — terpenuhi, namun pertumbuhan hanya dari SPP ✓</t>
  </si>
  <si>
    <t>L7</t>
  </si>
  <si>
    <t>Biaya per Mahasiswa (RBM) (Sesuai SPMI)</t>
  </si>
  <si>
    <t>—  Rp 14,7 jt/mhs/thn — validasi SPMI setempat</t>
  </si>
  <si>
    <t>L8</t>
  </si>
  <si>
    <t>Indeks Keberlanjutan (IKK) (≥ 2.5 (0–4))</t>
  </si>
  <si>
    <t>✓  ≈ 2.57 — tepat di atas batas minimum ✓</t>
  </si>
  <si>
    <t>L9</t>
  </si>
  <si>
    <t>Rasio Likuiditas (RL) (≥ 100% (≥1.0×))</t>
  </si>
  <si>
    <t>✓  1,74× — terpenuhi ✓</t>
  </si>
  <si>
    <t>L10</t>
  </si>
  <si>
    <t>Alokasi Tridharma (ATT) (Proporsional)</t>
  </si>
  <si>
    <t>✓  Pend58%/Rist28%/PkM14% — deviasi &lt; 10% ✓</t>
  </si>
  <si>
    <t xml:space="preserve">  REKOMENDASI PERBAIKAN — PRIORITAS UTAMA</t>
  </si>
  <si>
    <t>P1</t>
  </si>
  <si>
    <t>Diversifikasi Pendapatan</t>
  </si>
  <si>
    <t>Kurangi ketergantungan SPP (58% → target &lt;50%). Kembangkan riset, auxiliary, donasi alumni.</t>
  </si>
  <si>
    <t>P2</t>
  </si>
  <si>
    <t>Tingkatkan RISDM ≥15%</t>
  </si>
  <si>
    <t>Tambah anggaran SDM Rp ~1 M (dari 5,2M → 6,2M). Prioritaskan pelatihan dosen produktif.</t>
  </si>
  <si>
    <t>P3</t>
  </si>
  <si>
    <t>Tingkatkan RISP ≥20%</t>
  </si>
  <si>
    <t>Tambah investasi sarpras Rp ~3,6 M. Gunakan pinjaman produktif jika perlu.</t>
  </si>
  <si>
    <t>P4</t>
  </si>
  <si>
    <t>Perkuat Endowment</t>
  </si>
  <si>
    <t>Kampanye wakaf/donasi alumni. Target endowment ≥ 2× total utang dalam 5 tahun.</t>
  </si>
  <si>
    <t>P5</t>
  </si>
  <si>
    <t>Kendalikan Utang</t>
  </si>
  <si>
    <t>ICR 1,78× dan DSCR 1,29× mendekati batas kritis. Hindari utang baru tanpa rencana bayar jelas.</t>
  </si>
  <si>
    <t>P6</t>
  </si>
  <si>
    <t>Tingkatkan Operating Margin</t>
  </si>
  <si>
    <t>Margin 0,58% sangat rentan. Target 3-5% melalui efisiensi + pertumbuhan pendapatan non-SPP.</t>
  </si>
  <si>
    <t>INSTRUMEN KEUANGAN LAMEMBA — DATA INPUT (PREDIKAT PERHATIAN)</t>
  </si>
  <si>
    <t>⚠️ PERHATIAN: Operating Margin hanya 0,58%. Isi HANYA sel BIRU. Formula latar biru-muda otomatis.</t>
  </si>
  <si>
    <t>A. DATA PENDAPATAN (Rupiah)</t>
  </si>
  <si>
    <t>Komponen Pendapatan</t>
  </si>
  <si>
    <t>TS (Tahun Ini)</t>
  </si>
  <si>
    <t>TS-1 (Tahun Lalu)</t>
  </si>
  <si>
    <t>TS-2 (2 Thn Lalu)</t>
  </si>
  <si>
    <t>Keterangan</t>
  </si>
  <si>
    <t>Pendapatan SPP / Biaya Kuliah Gross (UKT)</t>
  </si>
  <si>
    <t>2.800 mhs × Rp 12 jt/thn = Rp 33,6 M TS. (Rp 6 jt/semester × 2 sem).</t>
  </si>
  <si>
    <t>Beasiswa &amp; Financial Aid (pengurang, nilai NEGATIF)</t>
  </si>
  <si>
    <t>28% discount rate — lebih tinggi dari BAIK karena segmen mahasiswa lebih price-sensitive.</t>
  </si>
  <si>
    <t>Pendapatan Pemerintah (BOPTN, hibah institusi)</t>
  </si>
  <si>
    <t>BOPTN lebih besar proporsinya vs total pendapatan — ketergantungan subsidi lebih tinggi.</t>
  </si>
  <si>
    <t>Pendapatan Penelitian &amp; Hibah Kompetitif</t>
  </si>
  <si>
    <t>Riset terbatas — kapasitas dosen peneliti lebih kecil. Perlu dikembangkan.</t>
  </si>
  <si>
    <t>Pendapatan Donasi &amp; Sumbangan (Gifts)</t>
  </si>
  <si>
    <t>Alumni network lemah. Fundraising belum terstruktur.</t>
  </si>
  <si>
    <t>Pendapatan Auxiliary (usaha penunjang)</t>
  </si>
  <si>
    <t>Kantin, parkir, koperasi kecil. Potensi besar yang belum dioptimalkan.</t>
  </si>
  <si>
    <t>Pendapatan Investasi Endowment (operasional)</t>
  </si>
  <si>
    <t>Endowment sangat kecil (Rp 8 M). Return minimal. Perlu strategi pengembangan dana abadi.</t>
  </si>
  <si>
    <t>Pendapatan Lain-lain</t>
  </si>
  <si>
    <t>Sertifikasi, event, dll.</t>
  </si>
  <si>
    <t xml:space="preserve">  → Net Tuition Revenue (SPP − Beasiswa)</t>
  </si>
  <si>
    <t>Formula otomatis</t>
  </si>
  <si>
    <t xml:space="preserve">  → Pendapatan Non-Pemerintah (Non-Subsidi)</t>
  </si>
  <si>
    <t>TOTAL PENDAPATAN</t>
  </si>
  <si>
    <t>B. DATA PENGELUARAN (Rupiah)</t>
  </si>
  <si>
    <t>Komponen Pengeluaran</t>
  </si>
  <si>
    <t>Biaya Operasional Langsung (Pendidikan, Penelitian, PkM)</t>
  </si>
  <si>
    <t>Tridharma. REO=58,32% — mendekati 65% tapi belum. Jauh lebih kecil dari BAIK.</t>
  </si>
  <si>
    <t>Biaya Administrasi &amp; Institutional Support</t>
  </si>
  <si>
    <t>Admin ratio 9,24% — relatif tinggi vs pendapatan kecil. Efisiensi overhead perlu ditingkatkan.</t>
  </si>
  <si>
    <t>Biaya Instruksi / Pengajaran (INFO — subset dari B20)</t>
  </si>
  <si>
    <t>INFO SAJA — sudah termasuk dalam B20. TIDAK dihitung di Total Pengeluaran.</t>
  </si>
  <si>
    <t>Anggaran Pengembangan SDM (pelatihan, riset, hibah)</t>
  </si>
  <si>
    <t>RISDM=12,64% — belum ≥15%. Investasi SDM minimal karena tekanan keuangan.</t>
  </si>
  <si>
    <t>Belanja Aset Tetap / CapEx (gedung, lab, IT)</t>
  </si>
  <si>
    <t>CapEx sangat kecil. RISP=(2,8+1,8)/41,15=11,18% — jauh dari target ≥20%.</t>
  </si>
  <si>
    <t>Biaya Pemeliharaan Sarana Prasarana</t>
  </si>
  <si>
    <t>Pemeliharaan minimal — risiko degradasi aset jangka panjang.</t>
  </si>
  <si>
    <t>Gaji &amp; Tunjangan Dosen Tetap (tunjangan akademik)</t>
  </si>
  <si>
    <t>Sangat kecil — tunjangan terbatas karena tekanan keuangan.</t>
  </si>
  <si>
    <t>Depresiasi / Penyusutan Aset</t>
  </si>
  <si>
    <t>Non-kas. Aset lebih kecil dari BAIK.</t>
  </si>
  <si>
    <t>Beban Bunga (Interest Expense)</t>
  </si>
  <si>
    <t>Bunga relatif besar terhadap EBITDA. ICR=1,78× — di bawah ideal ≥3×.</t>
  </si>
  <si>
    <t>Biaya Lain-lain Operasional</t>
  </si>
  <si>
    <t>TOTAL PENGELUARAN</t>
  </si>
  <si>
    <t>C. DATA NERACA KEUANGAN (Rupiah)</t>
  </si>
  <si>
    <t>Komponen Neraca</t>
  </si>
  <si>
    <t>Kas &amp; Setara Kas</t>
  </si>
  <si>
    <t>TS: Rp 10,5 M — Days Cash=159 hari ✓. Relatif aman meski margin tipis.</t>
  </si>
  <si>
    <t>Investasi Jangka Pendek (&lt; 1 tahun)</t>
  </si>
  <si>
    <t>Rp 7,5 M.</t>
  </si>
  <si>
    <t>Piutang Bersih</t>
  </si>
  <si>
    <t>Piutang tinggi relatif terhadap pendapatan — perlu penguatan penagihan.</t>
  </si>
  <si>
    <t>Aset Lancar Lainnya</t>
  </si>
  <si>
    <t>Total Aset Tetap (Neto setelah depresiasi)</t>
  </si>
  <si>
    <t>Aset tetap kecil (Rp 58 M). Investasi terbatas → fasilitas lebih tua.</t>
  </si>
  <si>
    <t>Endowment / Dana Abadi (nilai pasar)</t>
  </si>
  <si>
    <t>⚠️ Endowment sangat kecil: Rp 8 M. Endow/Debt=0,36× — di bawah ≥1,0×. Perlu dikembangkan.</t>
  </si>
  <si>
    <t>Total Aset</t>
  </si>
  <si>
    <t>Total Aset Lancar + Aset Tetap + Endowment</t>
  </si>
  <si>
    <t>Kewajiban Jangka Pendek</t>
  </si>
  <si>
    <t>RL=1,74× ✓. Masih aman tapi lebih rendah dari BAIK (2,39×).</t>
  </si>
  <si>
    <t>Kewajiban Jangka Panjang / Total Utang</t>
  </si>
  <si>
    <t>⚠️ Utang Rp 22 M cukup besar. Debt/Assets=24,3% (mendekati batas 25%). Hati-hati ekspansi.</t>
  </si>
  <si>
    <t>Expendable Net Assets</t>
  </si>
  <si>
    <t>Primary Reserve=18/41,15=0,44 ✓ (di atas minimum 0,17). Viability=0,82× ✓.</t>
  </si>
  <si>
    <t>Change in Net Assets (Perubahan Aset Bersih)</t>
  </si>
  <si>
    <t>⚠️ Surplus sangat kecil Rp 0,6 M. Return on NA=1,4% — di bawah target 2%.</t>
  </si>
  <si>
    <t>Beginning Net Assets (Aset Bersih Awal Periode)</t>
  </si>
  <si>
    <t>Annual Debt Service (Pokok + Bunga Tahunan)</t>
  </si>
  <si>
    <t>⚠️ DSCR=1,29× — di bawah target ≥2,0×. Kemampuan bayar utang terbatas.</t>
  </si>
  <si>
    <t>Sources of Liquidity</t>
  </si>
  <si>
    <t>Uses of Liquidity</t>
  </si>
  <si>
    <t xml:space="preserve">  → Total Aset Lancar</t>
  </si>
  <si>
    <t xml:space="preserve">  → Rata-rata Nilai Endowment 3 Tahun</t>
  </si>
  <si>
    <t>-</t>
  </si>
  <si>
    <t>Rata-rata 3 tahun untuk Endowment Spending Rate</t>
  </si>
  <si>
    <t>D. DATA ANGGARAN vs REALISASI — Varians Anggaran (VA)</t>
  </si>
  <si>
    <t>Pos Anggaran</t>
  </si>
  <si>
    <t>Rencana / RKAT (Rp)</t>
  </si>
  <si>
    <t>Realisasi Aktual (Rp)</t>
  </si>
  <si>
    <t>Varians (Rp)</t>
  </si>
  <si>
    <t>Varians (%)</t>
  </si>
  <si>
    <t>Biaya Operasional Langsung</t>
  </si>
  <si>
    <t>Pengembangan SDM</t>
  </si>
  <si>
    <t>Investasi Sarpras (Aset Tetap+Pemeliharaan)</t>
  </si>
  <si>
    <t>Biaya Administrasi</t>
  </si>
  <si>
    <t>Total Pengeluaran</t>
  </si>
  <si>
    <t>Rata-rata Varians Absolut (LAMEMBA ≤ ±10%)</t>
  </si>
  <si>
    <t>E. ALOKASI ANGGARAN TRIDHARMA — ATT</t>
  </si>
  <si>
    <t>Fungsi Tridharma</t>
  </si>
  <si>
    <t>Alokasi (Rp) TS</t>
  </si>
  <si>
    <t>Bobot LAMEMBA</t>
  </si>
  <si>
    <t>Kontribusi Terbobot</t>
  </si>
  <si>
    <t>Proporsi Aktual (%)</t>
  </si>
  <si>
    <t>Pendidikan</t>
  </si>
  <si>
    <t>Penelitian</t>
  </si>
  <si>
    <t>Pengabdian Masyarakat (PkM)</t>
  </si>
  <si>
    <t>TOTAL TRIDHARMA</t>
  </si>
  <si>
    <t>F. DATA MAHASISWA, DOSEN &amp; ENDOWMENT</t>
  </si>
  <si>
    <t>Komponen</t>
  </si>
  <si>
    <t>Nilai TS</t>
  </si>
  <si>
    <t>Nilai TS-1</t>
  </si>
  <si>
    <t>Nilai TS-2</t>
  </si>
  <si>
    <t>Jumlah Mahasiswa Aktif (FTE)</t>
  </si>
  <si>
    <t>TS:2.800 FTE. SFR=2800/185=15,1:1 ✓. Pertumbuhan lambat perlu strategi rekrutmen.</t>
  </si>
  <si>
    <t>Jumlah Dosen Tetap (FTE)</t>
  </si>
  <si>
    <t>185 dosen. Rasio 15,1:1 — masih dalam range ideal.</t>
  </si>
  <si>
    <t>Total Financial Aid / Beasiswa</t>
  </si>
  <si>
    <t>Discount Rate=28% — lebih tinggi, mencerminkan strategi harga agresif untuk menarik mahasiswa.</t>
  </si>
  <si>
    <t>Annual Endowment Distribution (Payout)</t>
  </si>
  <si>
    <t>Spending Rate=640jt/7,6M=8,4% — di atas ideal 4-6%. Endowment cepat habis!</t>
  </si>
  <si>
    <t>Annual Investment Return (Endowment)</t>
  </si>
  <si>
    <t>Return 10%/thn dari endowment Rp 8M = Rp 800jt. Sangat kecil.</t>
  </si>
  <si>
    <t>Operating Investment Income</t>
  </si>
  <si>
    <t xml:space="preserve"> =b12. endowment kecil → kontribusi operasional minimal.</t>
  </si>
  <si>
    <t>EBITDA</t>
  </si>
  <si>
    <t>⚠️ PERHATIAN: ICR=1,78× (di bawah ideal ≥3×). DSCR=1,29× (di bawah ≥2×). Kemampuan bayar utang terbatas.</t>
  </si>
  <si>
    <t>Interest Expense</t>
  </si>
  <si>
    <t xml:space="preserve"> =b28. interest coverage = ebitda / interest expense. ts: 1,78× — perlu ditingkatkan.</t>
  </si>
  <si>
    <t>⚠️ PERHATIAN: Margin tipis 0,58%. Prioritaskan: (1) Diversifikasi pendapatan, (2) Efisiensi admin, (3) Tingkatkan RISDM &amp; RISP. Jangan tambah utang baru.</t>
  </si>
  <si>
    <t>HASIL PERHITUNGAN — SEMUA RASIO KESEHATAN KEUANGAN UNIVERSITAS (PREDIKAT PERHATIAN)</t>
  </si>
  <si>
    <t>⚠️ PERHATIAN = beberapa rasio mendekati atau melewati ambang batas. ★ = LAMEMBA | Hijau=✓ | Merah=✗ | Kuning=Mendekati batas</t>
  </si>
  <si>
    <t>TABEL 1: COMPOSITE FINANCIAL INDEX (CFI) — Rasio Utama</t>
  </si>
  <si>
    <t>No</t>
  </si>
  <si>
    <t>Nama Rasio / Indikator</t>
  </si>
  <si>
    <t>Formula</t>
  </si>
  <si>
    <t>Komponen Input</t>
  </si>
  <si>
    <t>Target Sehat</t>
  </si>
  <si>
    <t>Target Min/Max</t>
  </si>
  <si>
    <t>Score (0-100)</t>
  </si>
  <si>
    <t>Status TS</t>
  </si>
  <si>
    <t>1</t>
  </si>
  <si>
    <t>Primary Reserve Ratio</t>
  </si>
  <si>
    <t>Expendable Net Assets ÷ Total Operating Expenses</t>
  </si>
  <si>
    <t>Expendable NA / Total Pengeluaran</t>
  </si>
  <si>
    <t>0.17–0.40</t>
  </si>
  <si>
    <t>⚠️ PERHATIAN: 0.44 — di atas minimum 0.17 ✓ tapi di bawah target 0.40. Risiko jika pendapatan turun.</t>
  </si>
  <si>
    <t>2</t>
  </si>
  <si>
    <t>Viability Ratio</t>
  </si>
  <si>
    <t>Expendable Net Assets ÷ Total Debt</t>
  </si>
  <si>
    <t>Expendable NA / Total Utang</t>
  </si>
  <si>
    <t>0.20–0.35</t>
  </si>
  <si>
    <t>⚠️ PERHATIAN: 0.82× — di atas 0.35 ✓ tapi relatif lemah. Tekanan utang terasa.</t>
  </si>
  <si>
    <t>3</t>
  </si>
  <si>
    <t>Return on Net Assets</t>
  </si>
  <si>
    <t>Change in Net Assets ÷ Beginning Net Assets</t>
  </si>
  <si>
    <t>Perubahan Aset Bersih / Aset Bersih Awal</t>
  </si>
  <si>
    <t>0%–2%</t>
  </si>
  <si>
    <t>⚠️ PERHATIAN: 1,43% — di bawah target 2%. Pertumbuhan kekayaan bersih sangat lambat.</t>
  </si>
  <si>
    <t>4</t>
  </si>
  <si>
    <t>Net Operating Revenue Ratio</t>
  </si>
  <si>
    <t>(Op. Revenue − Op. Expenses) ÷ Op. Revenue</t>
  </si>
  <si>
    <t>(Total Pdpt − Total Pglr) / Total Pdpt</t>
  </si>
  <si>
    <t>⚠️ PERHATIAN: 0,58% — sangat tipis. Satu tahun buruk bisa langsung defisit.</t>
  </si>
  <si>
    <t>TABEL 2: RASIO LIKUIDITAS</t>
  </si>
  <si>
    <t>5</t>
  </si>
  <si>
    <t>Liquidity Ratio</t>
  </si>
  <si>
    <t>Sources of Liquidity ÷ Uses of Liquidity</t>
  </si>
  <si>
    <t>Sumber Likuid / Penggunaan Likuid</t>
  </si>
  <si>
    <t>PERHATIAN: 1.75× — masih aman ✓ tapi margin lebih tipis dari BAIK.</t>
  </si>
  <si>
    <t>6</t>
  </si>
  <si>
    <t>Days Cash on Hand</t>
  </si>
  <si>
    <t>(Kas + Investasi JP) ÷ (Total Pengeluaran / 365)</t>
  </si>
  <si>
    <t>(Kas+Inv.JP) / (Total Pglr / 365)</t>
  </si>
  <si>
    <t>60</t>
  </si>
  <si>
    <t>PERHATIAN: 159 hari — terpenuhi ✓. Kas relatif cukup meski pendapatan kecil.</t>
  </si>
  <si>
    <t>7</t>
  </si>
  <si>
    <t>Cash to Debt Ratio</t>
  </si>
  <si>
    <t>Kas &amp; Setara Kas ÷ Total Debt</t>
  </si>
  <si>
    <t>Kas / Total Utang</t>
  </si>
  <si>
    <t>0.15</t>
  </si>
  <si>
    <t>⚠️ PERHATIAN: 0.48× — terpenuhi ✓ tapi hanya kira-kira setengah dari utang yang bisa dilunasi dengan kas.</t>
  </si>
  <si>
    <t>★ ★ Rasio Likuiditas (RL) — LAMEMBA</t>
  </si>
  <si>
    <t>Aset Lancar ÷ Kewajiban Jangka Pendek</t>
  </si>
  <si>
    <t>Aset Lancar / Kwj. Jangka Pendek</t>
  </si>
  <si>
    <t>≥ 100%</t>
  </si>
  <si>
    <t>LAMEMBA No.9. PERHATIAN: 1,74× — terpenuhi ✓ tapi lebih rendah dari BAIK (2,39×).</t>
  </si>
  <si>
    <t>TABEL 3: RASIO EFISIENSI OPERASIONAL</t>
  </si>
  <si>
    <t>8</t>
  </si>
  <si>
    <t>1%–3%</t>
  </si>
  <si>
    <t>⚠️ PERHATIAN: 0,58% — sangat tipis. Target minimal 2-3% untuk buffer aman.</t>
  </si>
  <si>
    <t>9</t>
  </si>
  <si>
    <t>Administrative Expense Ratio</t>
  </si>
  <si>
    <t>Biaya Administrasi ÷ Total Op. Expenses</t>
  </si>
  <si>
    <t>Adm &amp; Overhead / Total Pengeluaran</t>
  </si>
  <si>
    <t>0.12</t>
  </si>
  <si>
    <t>⚠️ PERHATIAN: 9,2% — terpenuhi ✓ tapi terasa besar karena pendapatan kecil. Efisiensi overhead kritis.</t>
  </si>
  <si>
    <t>10</t>
  </si>
  <si>
    <t>Tuition Dependency Ratio</t>
  </si>
  <si>
    <t>Net Tuition Revenue ÷ Total Op. Revenue</t>
  </si>
  <si>
    <t>Net Tuition / Total Pendapatan</t>
  </si>
  <si>
    <t>0.7</t>
  </si>
  <si>
    <t>⚠️ PERHATIAN: 58,5% — risiko sedang-tinggi. Bergantung besar pada SPP, rentan jika enrollment turun.</t>
  </si>
  <si>
    <t>11</t>
  </si>
  <si>
    <t>Cost per Student</t>
  </si>
  <si>
    <t>Total Operating Expenses ÷ Total FTE Students</t>
  </si>
  <si>
    <t>Total Pengeluaran / Mahasiswa FTE</t>
  </si>
  <si>
    <t>Benchmark industri</t>
  </si>
  <si>
    <t>Benchmark SPMI</t>
  </si>
  <si>
    <t>"Lihat benchmark SPMI"</t>
  </si>
  <si>
    <t>PERHATIAN: Rp 14,7 jt/mhs/thn — lebih rendah dari BAIK (Rp 21 jt). Efisiensi baik, tapi risiko kualitas.</t>
  </si>
  <si>
    <t>★ ★ Rasio Efisiensi Operasional (REO) — LAMEMBA</t>
  </si>
  <si>
    <t>Biaya Operasional Langsung ÷ Total Pengeluaran</t>
  </si>
  <si>
    <t>Biaya Langsung / Total Pengeluaran</t>
  </si>
  <si>
    <t>≥ 65%</t>
  </si>
  <si>
    <t>LAMEMBA No.2. PERHATIAN: 58,32% — belum ≥65% (struktural). Perlu terus ditingkatkan.</t>
  </si>
  <si>
    <t>★ ★ Rasio Biaya per Mahasiswa (RBM) — LAMEMBA</t>
  </si>
  <si>
    <t>Total Biaya Operasional ÷ Jumlah Mahasiswa Aktif</t>
  </si>
  <si>
    <t>Sesuai SPMI</t>
  </si>
  <si>
    <t>"Lihat standar SPMI institusi"</t>
  </si>
  <si>
    <t>LAMEMBA No.7. PERHATIAN: Rp 14,7 jt/mhs/thn. Bandingkan dengan standar SPMI setempat.</t>
  </si>
  <si>
    <t>TABEL 4: RASIO UTANG DAN LEVERAGE</t>
  </si>
  <si>
    <t>12</t>
  </si>
  <si>
    <t>Debt Service Coverage Ratio</t>
  </si>
  <si>
    <t>(Op. Income + Depreciation + Interest) ÷ Annual Debt Service</t>
  </si>
  <si>
    <t>(Net Inc+Depr+Int) / Debt Service</t>
  </si>
  <si>
    <t>1.25</t>
  </si>
  <si>
    <t>⚠️ PERHATIAN: 1,29× — di bawah ≥2,0×. Kemampuan membayar utang sangat terbatas. Prioritas utama.</t>
  </si>
  <si>
    <t>13</t>
  </si>
  <si>
    <t>Debt-to-Assets Ratio</t>
  </si>
  <si>
    <t>Total Debt ÷ Total Assets</t>
  </si>
  <si>
    <t>Total Utang / Total Aset</t>
  </si>
  <si>
    <t>0.35</t>
  </si>
  <si>
    <t>⚠️ PERHATIAN: ~24,3% — mendekati batas 25%. Jangan tambah utang baru tanpa rencana jelas.</t>
  </si>
  <si>
    <t>14</t>
  </si>
  <si>
    <t>Interest Coverage Ratio</t>
  </si>
  <si>
    <t>EBITDA ÷ Interest Expense</t>
  </si>
  <si>
    <t>EBITDA / Beban Bunga</t>
  </si>
  <si>
    <t>⚠️ PERHATIAN: 1,78× — di bawah target ≥3×. EBITDA kecil, bunga terasa berat.</t>
  </si>
  <si>
    <t>15</t>
  </si>
  <si>
    <t>Debt per Student</t>
  </si>
  <si>
    <t>Total Debt ÷ Total FTE Students</t>
  </si>
  <si>
    <t>Total Utang / Mahasiswa FTE</t>
  </si>
  <si>
    <t>"Lihat benchmark industri"</t>
  </si>
  <si>
    <t>⚠️ PERHATIAN: Rp 7,86 jt/mhs — utang per mahasiswa lebih tinggi dari BAIK (Rp 7,14 jt) secara relatif.</t>
  </si>
  <si>
    <t>TABEL 5: RASIO ENDOWMENT DAN INVESTASI</t>
  </si>
  <si>
    <t>16</t>
  </si>
  <si>
    <t>Endowment per Student</t>
  </si>
  <si>
    <t>Total Endowment ÷ Total Enrolled Students</t>
  </si>
  <si>
    <t>Nilai Endowment / Mahasiswa</t>
  </si>
  <si>
    <t>Bervariasi</t>
  </si>
  <si>
    <t>"Lihat benchmark kategori"</t>
  </si>
  <si>
    <t>⚠️ PERHATIAN: Rp 2,86 jt/mhs — sangat rendah. BAIK Rp 10 jt/mhs, SB Rp 18,67 jt/mhs.</t>
  </si>
  <si>
    <t>17</t>
  </si>
  <si>
    <t>Endowment Spending Rate</t>
  </si>
  <si>
    <t>Annual Endowment Distribution ÷ Average Market Value (3yr)</t>
  </si>
  <si>
    <t>Payout / Rata-rata Endowment</t>
  </si>
  <si>
    <t>—</t>
  </si>
  <si>
    <t>4%–8%</t>
  </si>
  <si>
    <t>4%–6%</t>
  </si>
  <si>
    <t>⚠️ PERHATIAN: ~8,4% — melampaui batas atas 8%. Endowment dipakai terlalu cepat! Perlu dikurangi.</t>
  </si>
  <si>
    <t>18</t>
  </si>
  <si>
    <t>Investment Return</t>
  </si>
  <si>
    <t>Annual Investment Return ÷ Average Endowment</t>
  </si>
  <si>
    <t>Return Investasi / Rata-rata Endowment</t>
  </si>
  <si>
    <t>&gt; 8%+Inflasi</t>
  </si>
  <si>
    <t>Positif</t>
  </si>
  <si>
    <t>PERHATIAN: ~10,5% — return masih baik ✓ tapi endowment terlalu kecil sehingga dampaknya minimal.</t>
  </si>
  <si>
    <t>19</t>
  </si>
  <si>
    <t>Endowment to Debt</t>
  </si>
  <si>
    <t>Total Endowment ÷ Total Debt</t>
  </si>
  <si>
    <t>Nilai Endowment / Total Utang</t>
  </si>
  <si>
    <t>&gt; 2.0×</t>
  </si>
  <si>
    <t>&gt; 1.0×</t>
  </si>
  <si>
    <t>🔴 BERISIKO: 0,36× — endowment jauh lebih kecil dari total utang. Risiko jangka panjang serius.</t>
  </si>
  <si>
    <t>TABEL 6: RASIO PENDAPATAN DAN DIVERSIFIKASI</t>
  </si>
  <si>
    <t>★ ★ Rasio Kemandirian Keuangan (RK) — LAMEMBA</t>
  </si>
  <si>
    <t>Pendapatan Non-Pemerintah ÷ Total Pendapatan</t>
  </si>
  <si>
    <t>Non-Pemerintah / Total Pendapatan</t>
  </si>
  <si>
    <t>≥ 30%</t>
  </si>
  <si>
    <t>LAMEMBA No.1. PERHATIAN: 86,71% — terpenuhi ✓.</t>
  </si>
  <si>
    <t>★ ★ Pertumbuhan Pendapatan Tahunan (GRR) — LAMEMBA</t>
  </si>
  <si>
    <t>((Pendapatan TS − TS-1) ÷ TS-1) × 100</t>
  </si>
  <si>
    <t>(Pdpt TS - TS-1) / TS-1</t>
  </si>
  <si>
    <t>≥ 5%</t>
  </si>
  <si>
    <t>LAMEMBA No.6. PERHATIAN: 9,78% ✓ — pertumbuhan terutama dari kenaikan SPP &amp; mahasiswa.</t>
  </si>
  <si>
    <t>20</t>
  </si>
  <si>
    <t>Revenue Concentration</t>
  </si>
  <si>
    <t>Sumber Terbesar ÷ Total Revenue</t>
  </si>
  <si>
    <t>MAX sumber / Total Pendapatan</t>
  </si>
  <si>
    <t>🔴 BERISIKO: SPP Gross 81,2% dari total pendapatan — konsentrasi sangat tinggi. Risiko kritis jika enrollment turun.</t>
  </si>
  <si>
    <t>21</t>
  </si>
  <si>
    <t>Gift Revenue Ratio</t>
  </si>
  <si>
    <t>Total Gifts &amp; Donations ÷ Total Revenue</t>
  </si>
  <si>
    <t>Donasi / Total Pendapatan</t>
  </si>
  <si>
    <t>0.01</t>
  </si>
  <si>
    <t>⚠️ PERHATIAN: 4,8% — di bawah 5%. Fundraising sangat terbatas. Perlu program alumni intensif.</t>
  </si>
  <si>
    <t>22</t>
  </si>
  <si>
    <t>Research Revenue Ratio</t>
  </si>
  <si>
    <t>Research Grants ÷ Total Revenue</t>
  </si>
  <si>
    <t>Pdpt Penelitian / Total Pdpt</t>
  </si>
  <si>
    <t>0.05</t>
  </si>
  <si>
    <t>⚠️ PERHATIAN: 10,1% — batas bawah sehat ✓. Perlu ditingkatkan untuk mengurangi ketergantungan SPP.</t>
  </si>
  <si>
    <t>23</t>
  </si>
  <si>
    <t>Auxiliary Revenue Ratio</t>
  </si>
  <si>
    <t>Auxiliary Revenue ÷ Total Revenue</t>
  </si>
  <si>
    <t>Pdpt Auxiliary / Total Pdpt</t>
  </si>
  <si>
    <t>15%–25%</t>
  </si>
  <si>
    <t>10%–30%</t>
  </si>
  <si>
    <t>⚠️ PERHATIAN: 9,2% — di bawah 10%. Unit auxiliary sangat terbatas.</t>
  </si>
  <si>
    <t>TABEL 7: RASIO AKADEMIK-FINANSIAL</t>
  </si>
  <si>
    <t>24</t>
  </si>
  <si>
    <t>Student-to-Faculty Ratio</t>
  </si>
  <si>
    <t>Total FTE Students ÷ Total FTE Faculty</t>
  </si>
  <si>
    <t>Mahasiswa FTE / Dosen FTE</t>
  </si>
  <si>
    <t>12:1–20:1</t>
  </si>
  <si>
    <t>&lt; 30:1</t>
  </si>
  <si>
    <t>PERHATIAN: 15,1:1 — dalam range ✓. Salah satu kekuatan. Perlu dipertahankan.</t>
  </si>
  <si>
    <t>25</t>
  </si>
  <si>
    <t>Discount Rate</t>
  </si>
  <si>
    <t>Total Financial Aid ÷ Gross Tuition Revenue</t>
  </si>
  <si>
    <t>Financial Aid / Gross Tuition</t>
  </si>
  <si>
    <t>30%–50%</t>
  </si>
  <si>
    <t>20%–60%</t>
  </si>
  <si>
    <t>⚠️ PERHATIAN: 28% — sedikit di bawah target 30-50%. Perlu ditingkatkan untuk rekrutmen mahasiswa.</t>
  </si>
  <si>
    <t>26</t>
  </si>
  <si>
    <t>Net Tuition per Student</t>
  </si>
  <si>
    <t>Net Tuition Revenue ÷ Total Students</t>
  </si>
  <si>
    <t>Net Tuition / Mahasiswa FTE</t>
  </si>
  <si>
    <t>Tren naik</t>
  </si>
  <si>
    <t>Stabil/naik</t>
  </si>
  <si>
    <t>PERHATIAN: Rp 8,64 jt/mhs — tren naik ✓. Lebih rendah dari BAIK (Rp 12 jt) karena SPP lebih kecil.</t>
  </si>
  <si>
    <t>27</t>
  </si>
  <si>
    <t>Faculty Cost Ratio</t>
  </si>
  <si>
    <t>Faculty Salaries &amp; Benefits ÷ Total Op. Expenses</t>
  </si>
  <si>
    <t>Gaji Dosen / Total Pengeluaran</t>
  </si>
  <si>
    <t>45%–55%</t>
  </si>
  <si>
    <t>40%–60%</t>
  </si>
  <si>
    <t>PERHATIAN: 48,4% — dalam range ✓.</t>
  </si>
  <si>
    <t>TABEL 8: 10 INDIKATOR WAJIB LAMEMBA KRITERIA 3 ★ (Rekap Lengkap)</t>
  </si>
  <si>
    <t>★ ★ Rasio Kemandirian Keuangan (RK)</t>
  </si>
  <si>
    <t>Lihat formula di kolom Komponen Input</t>
  </si>
  <si>
    <t>PERHATIAN: 86,71% ✓ — masih terpenuhi.</t>
  </si>
  <si>
    <t>★ ★ Rasio Efisiensi Operasional (REO)</t>
  </si>
  <si>
    <t>PERHATIAN: 58,32% — belum ≥65% (struktural).</t>
  </si>
  <si>
    <t>★ ★ Varians Anggaran (VA)</t>
  </si>
  <si>
    <t>PERHATIAN: ~7,6% ✓ — terpenuhi tapi mendekati batas ±10%.</t>
  </si>
  <si>
    <t>≤ ±10%</t>
  </si>
  <si>
    <t>★ ★ Rasio Investasi SDM (RISDM)</t>
  </si>
  <si>
    <t>PERHATIAN: 12,64% — belum ≥15%. Investasi SDM kritis.</t>
  </si>
  <si>
    <t>≥ 15%</t>
  </si>
  <si>
    <t>★ ★ Rasio Investasi Sarpras (RISP)</t>
  </si>
  <si>
    <t>PERHATIAN: 11,18% — jauh dari ≥20%. Sarpras kurang diinvestasikan.</t>
  </si>
  <si>
    <t>≥ 20%</t>
  </si>
  <si>
    <t>★ ★ Pertumbuhan Pendapatan Tahunan (GRR)</t>
  </si>
  <si>
    <t>PERHATIAN: 9,78% ✓ — terpenuhi dari kenaikan mhs+SPP.</t>
  </si>
  <si>
    <t>★ ★ Rasio Biaya per Mahasiswa (RBM)</t>
  </si>
  <si>
    <t>PERHATIAN: Rp 14,7 jt/mhs/thn — validasi SPMI.</t>
  </si>
  <si>
    <t>"Lihat SPMI institusi"</t>
  </si>
  <si>
    <t>★ ★ Indeks Keberlanjutan Keuangan (IKK)</t>
  </si>
  <si>
    <t>PERHATIAN: ≈2,57 — tepat di atas batas minimum ≥2,5 ✓.</t>
  </si>
  <si>
    <t>≥ 2.5</t>
  </si>
  <si>
    <t>★ ★ Rasio Likuiditas Keuangan (RL)</t>
  </si>
  <si>
    <t>PERHATIAN: 1,74× ✓ — terpenuhi.</t>
  </si>
  <si>
    <t>★ ★ Alokasi Tridharma Terimbang (ATT)</t>
  </si>
  <si>
    <t>PERHATIAN: Pend58%/Rist28%/PkM14% — deviasi &lt; 10% ✓.</t>
  </si>
  <si>
    <t>Proporsional</t>
  </si>
  <si>
    <t>RINGKASAN: Indikator LAMEMBA Terpenuhi</t>
  </si>
  <si>
    <t>INDEKS KEBERLANJUTAN KEUANGAN (IKK) — LAMEMBA No.8 (PERHATIAN)</t>
  </si>
  <si>
    <t>⚠️ PERHATIAN: IKK diperkirakan ≈ 2.57 — tepat di atas batas minimum ≥2.5. Perlu perbaikan segera.</t>
  </si>
  <si>
    <t>Nilai Rasio (TS)</t>
  </si>
  <si>
    <t>Nilai Maks Acuan</t>
  </si>
  <si>
    <t>Skor Dinormalisasi (0–1)</t>
  </si>
  <si>
    <t>Bobot</t>
  </si>
  <si>
    <t>Kontribusi</t>
  </si>
  <si>
    <t>Rasio Kemandirian (RK)</t>
  </si>
  <si>
    <t>Rasio Efisiensi Operasional (REO)</t>
  </si>
  <si>
    <t>Rasio Likuiditas (RL)</t>
  </si>
  <si>
    <t>Pertumbuhan Pendapatan (GRR)</t>
  </si>
  <si>
    <t>TOTAL BOBOT</t>
  </si>
  <si>
    <t>IKK SKALA 0–4  ⚠️ Batas Min: ≥2.5</t>
  </si>
  <si>
    <t>Target: ≥ 2.5</t>
  </si>
  <si>
    <t>3.5–4.0</t>
  </si>
  <si>
    <t>Sangat Baik</t>
  </si>
  <si>
    <t>Fondasi keuangan sangat kuat</t>
  </si>
  <si>
    <t>2.5–3.4</t>
  </si>
  <si>
    <t>Baik (Terpenuhi LAMEMBA)</t>
  </si>
  <si>
    <t>Memenuhi standar, keuangan stabil</t>
  </si>
  <si>
    <t>1.5–2.4</t>
  </si>
  <si>
    <t>Perhatian</t>
  </si>
  <si>
    <t>Di bawah standar, perlu perbaikan</t>
  </si>
  <si>
    <t>0–1.4</t>
  </si>
  <si>
    <t>Berisiko</t>
  </si>
  <si>
    <t>Keuangan rentan, risiko tinggi</t>
  </si>
  <si>
    <t>ANALISIS VARIANS ANGGARAN (VA) — LAMEMBA No.3 (PERHATIAN)</t>
  </si>
  <si>
    <t>⚠️ PERHATIAN: VA ~7,6% — mendekati batas ±10%. Perlu penguatan sistem pengendalian anggaran.</t>
  </si>
  <si>
    <t>Rencana / RKAT</t>
  </si>
  <si>
    <t>Realisasi Aktual</t>
  </si>
  <si>
    <t>Status</t>
  </si>
  <si>
    <t>Catatan / Rekomendasi</t>
  </si>
  <si>
    <t>Investasi Sarpras (Aset+Pemeliharaan)</t>
  </si>
  <si>
    <t>RATA-RATA VARIANS ABSOLUT (LAMEMBA ≤ ±10%)</t>
  </si>
  <si>
    <t>ALOKASI TRIDHARMA TERIMBANG (ATT) — LAMEMBA No.10 (PERHATIAN)</t>
  </si>
  <si>
    <t>PERHATIAN: Alokasi Pend58%/Rist28%/PkM14% — deviasi semua &lt; 10% dari bobot LAMEMBA ✓</t>
  </si>
  <si>
    <t>Evaluasi</t>
  </si>
  <si>
    <t>Pengabdian kepada Masyarakat (PkM)</t>
  </si>
  <si>
    <t>TOTAL</t>
  </si>
  <si>
    <t>INDEKS ATT</t>
  </si>
  <si>
    <t>Target: ~1.0</t>
  </si>
  <si>
    <t>SCORECARD KESEHATAN KEUANGAN GABUNGAN (CFI + LAMEMBA) — PREDIKAT PERHATIAN</t>
  </si>
  <si>
    <t>Kategori</t>
  </si>
  <si>
    <t>Rasio Kunci</t>
  </si>
  <si>
    <t>Skor (0–100)</t>
  </si>
  <si>
    <t>IKK Acuan</t>
  </si>
  <si>
    <t>PIC</t>
  </si>
  <si>
    <t>Kekuatan Finansial</t>
  </si>
  <si>
    <t>Primary Reserve, Viability, Return on NA</t>
  </si>
  <si>
    <t>≤1.4</t>
  </si>
  <si>
    <t>CFO</t>
  </si>
  <si>
    <t>Likuiditas</t>
  </si>
  <si>
    <t>Liquidity Ratio, Days Cash, ★ RL</t>
  </si>
  <si>
    <t>≤1.0</t>
  </si>
  <si>
    <t>Treasurer</t>
  </si>
  <si>
    <t>Efisiensi Operasi</t>
  </si>
  <si>
    <t>Operating Margin, ★ REO, Admin Ratio, ★ VA</t>
  </si>
  <si>
    <t>≤0.8</t>
  </si>
  <si>
    <t>Budget Dir.</t>
  </si>
  <si>
    <t>Manajemen Utang</t>
  </si>
  <si>
    <t>DSCR, Debt/Assets, Interest Coverage</t>
  </si>
  <si>
    <t>≤0.6</t>
  </si>
  <si>
    <t>★ RK, Revenue Concentration, Gift Revenue, ★ GRR</t>
  </si>
  <si>
    <t>≤0.2</t>
  </si>
  <si>
    <t>100%</t>
  </si>
  <si>
    <t>DASHBOARD KESEHATAN KEUANGAN ⚠️ PREDIKAT PERHATIAN — 2024/2025</t>
  </si>
  <si>
    <t>⚠️ PTS Menengah-Kecil, 2.800 Mhs, SPP Rp 6 jt/sem. Total Pdpt Rp 41,4 M. Margin 0,58%. Tindakan perbaikan diperlukan.</t>
  </si>
  <si>
    <t>Indikator LAMEMBA
Terpenuhi</t>
  </si>
  <si>
    <t>Tingkat Pemenuhan
LAMEMBA</t>
  </si>
  <si>
    <t>IKK
(Target ≥ 2.5)</t>
  </si>
  <si>
    <t>Operating Margin
(Target ≥ 2%)</t>
  </si>
  <si>
    <t>10 INDIKATOR LAMEMBA — STATUS ⚠️ PERHATIAN</t>
  </si>
  <si>
    <t>RINGKASAN 29 RASIO KEUANGAN — PERHATIAN KHUSUS pada yang Merah/Kuning</t>
  </si>
  <si>
    <t>Rasio</t>
  </si>
  <si>
    <t>Target</t>
  </si>
  <si>
    <t>Ket.</t>
  </si>
  <si>
    <t>Primary Reserve</t>
  </si>
  <si>
    <t>≥0.40</t>
  </si>
  <si>
    <t>Debt/Student</t>
  </si>
  <si>
    <t>Bench.</t>
  </si>
  <si>
    <t>≥0.35</t>
  </si>
  <si>
    <t>Endow./Student⚠️</t>
  </si>
  <si>
    <t>Var.</t>
  </si>
  <si>
    <t>Return on NA</t>
  </si>
  <si>
    <t>&gt;2%</t>
  </si>
  <si>
    <t>Endow.Spend⚠️</t>
  </si>
  <si>
    <t>4-6%</t>
  </si>
  <si>
    <t>Net Op.Revenue</t>
  </si>
  <si>
    <t>Invest.Return</t>
  </si>
  <si>
    <t>&gt;8%</t>
  </si>
  <si>
    <t>≥1.25</t>
  </si>
  <si>
    <t>Endow/Debt 🔴</t>
  </si>
  <si>
    <t>&gt;2×</t>
  </si>
  <si>
    <t>≥120 hr</t>
  </si>
  <si>
    <t>Rev.Conc. 🔴</t>
  </si>
  <si>
    <t>&lt;60%</t>
  </si>
  <si>
    <t>Cash to Debt</t>
  </si>
  <si>
    <t>&gt;0.25</t>
  </si>
  <si>
    <t>Gift Revenue⚠️</t>
  </si>
  <si>
    <t>&gt;10%</t>
  </si>
  <si>
    <t>≥4%</t>
  </si>
  <si>
    <t>Research Rev.</t>
  </si>
  <si>
    <t>Admin Expense</t>
  </si>
  <si>
    <t>&lt;15%</t>
  </si>
  <si>
    <t>Auxiliary Rev.⚠️</t>
  </si>
  <si>
    <t>15-25%</t>
  </si>
  <si>
    <t>Tuition Depend.</t>
  </si>
  <si>
    <t>&lt;70%</t>
  </si>
  <si>
    <t>SFR</t>
  </si>
  <si>
    <t>12-20</t>
  </si>
  <si>
    <t>Cost/Student</t>
  </si>
  <si>
    <t>SPMI</t>
  </si>
  <si>
    <t>30-50%</t>
  </si>
  <si>
    <t>DSCR ⚠️</t>
  </si>
  <si>
    <t>≥2×</t>
  </si>
  <si>
    <t>Net Tuit/Stud</t>
  </si>
  <si>
    <t>Naik</t>
  </si>
  <si>
    <t>Debt/Assets ⚠️</t>
  </si>
  <si>
    <t>&lt;25%</t>
  </si>
  <si>
    <t>Faculty Cost</t>
  </si>
  <si>
    <t>45-55%</t>
  </si>
  <si>
    <t>Interest Cov.⚠️</t>
  </si>
  <si>
    <t>≥3×</t>
  </si>
  <si>
    <t>JADWAL MONITORING — PERHATIAN (Intensitas Lebih Tinggi)</t>
  </si>
  <si>
    <t>⚠️ PERHATIAN memerlukan monitoring lebih intensif. Rasio kritis (DSCR, ICR, Margin, RISDM, RISP) dipantau bulanan.</t>
  </si>
  <si>
    <t>Frekuensi</t>
  </si>
  <si>
    <t>Bulanan</t>
  </si>
  <si>
    <t>Kuartalan</t>
  </si>
  <si>
    <t>Tahunan</t>
  </si>
  <si>
    <t>Tindakan Prioritas</t>
  </si>
  <si>
    <t>✓</t>
  </si>
  <si>
    <t>Pantau tren — jika &lt;0.40 perlu respons cepat</t>
  </si>
  <si>
    <t>Pantau terhadap pertumbuhan utang</t>
  </si>
  <si>
    <t>Target &gt;2% melalui peningkatan surplus</t>
  </si>
  <si>
    <t>Net Op. Revenue Ratio ⚠️</t>
  </si>
  <si>
    <t>CFO/Budget</t>
  </si>
  <si>
    <t>KRITIS: Margin 0,58% sangat rentan</t>
  </si>
  <si>
    <t>Pantau ketersediaan kas jangka pendek</t>
  </si>
  <si>
    <t>Pantau apakah turun di bawah 120 hari</t>
  </si>
  <si>
    <t>Monitor keseimbangan kas vs utang</t>
  </si>
  <si>
    <t>★ Rasio Likuiditas (RL) — LAMEMBA</t>
  </si>
  <si>
    <t>Pantau agar tetap ≥1.0×</t>
  </si>
  <si>
    <t>Operating Margin ⚠️</t>
  </si>
  <si>
    <t>KRITIS: Tingkatkan ke 2-3% dalam 2 tahun</t>
  </si>
  <si>
    <t>Admin Expense Ratio</t>
  </si>
  <si>
    <t>Efisiensi overhead — target &lt;8%</t>
  </si>
  <si>
    <t>Tuition Dependency ⚠️</t>
  </si>
  <si>
    <t>Target turun ke &lt;55% melalui diversifikasi</t>
  </si>
  <si>
    <t>Cost per Student / ★ RBM</t>
  </si>
  <si>
    <t>Bandingkan dengan SPMI secara berkala</t>
  </si>
  <si>
    <t>★ REO — LAMEMBA</t>
  </si>
  <si>
    <t>Tingkatkan secara bertahap</t>
  </si>
  <si>
    <t>DSCR ⚠️ 🔴</t>
  </si>
  <si>
    <t>KRITIS: 1,29× — di bawah 2,0×. Prioritas utama</t>
  </si>
  <si>
    <t>Debt-to-Assets ⚠️</t>
  </si>
  <si>
    <t>Mendekati 25% — jangan tambah utang baru</t>
  </si>
  <si>
    <t>Interest Coverage ⚠️</t>
  </si>
  <si>
    <t>1,78× — pantau ketat agar tidak turun lagi</t>
  </si>
  <si>
    <t>Monitor tren per mahasiswa</t>
  </si>
  <si>
    <t>Endowment per Student ⚠️</t>
  </si>
  <si>
    <t>CIO/CFO</t>
  </si>
  <si>
    <t>Target gandakan dalam 5 tahun</t>
  </si>
  <si>
    <t>Endowment Spending Rate ⚠️</t>
  </si>
  <si>
    <t>CIO</t>
  </si>
  <si>
    <t>KRITIS: 8,4% — kurangi ke 4-6%</t>
  </si>
  <si>
    <t>Return baik — tambah modal endowment</t>
  </si>
  <si>
    <t>Endowment to Debt 🔴</t>
  </si>
  <si>
    <t>CFO/CIO</t>
  </si>
  <si>
    <t>KRITIS: 0,36× — kembangkan endowment</t>
  </si>
  <si>
    <t>★ RK Kemandirian — LAMEMBA</t>
  </si>
  <si>
    <t>Pertahankan, diversifikasi sumber</t>
  </si>
  <si>
    <t>★ GRR Pertumbuhan — LAMEMBA</t>
  </si>
  <si>
    <t>Pastikan pertumbuhan bukan hanya dari SPP</t>
  </si>
  <si>
    <t>Revenue Concentration 🔴</t>
  </si>
  <si>
    <t>KRITIS: 81% SPP — diversifikasi mendesak</t>
  </si>
  <si>
    <t>Gift Revenue ⚠️</t>
  </si>
  <si>
    <t>Dev.Office</t>
  </si>
  <si>
    <t>Kembangkan program alumni giving</t>
  </si>
  <si>
    <t>Research Revenue</t>
  </si>
  <si>
    <t>Research</t>
  </si>
  <si>
    <t>Tingkatkan kapasitas riset dosen</t>
  </si>
  <si>
    <t>Auxiliary Revenue ⚠️</t>
  </si>
  <si>
    <t>Kembangkan unit usaha kampus</t>
  </si>
  <si>
    <t>Semesteran</t>
  </si>
  <si>
    <t>Akademik</t>
  </si>
  <si>
    <t>Pertahankan di 12-20:1</t>
  </si>
  <si>
    <t>Fin.Aid</t>
  </si>
  <si>
    <t>Tingkatkan ke 30-40% untuk rekrutmen</t>
  </si>
  <si>
    <t>Pantau tren naik/turun</t>
  </si>
  <si>
    <t>HR/CFO</t>
  </si>
  <si>
    <t>Jaga di 45-55%</t>
  </si>
  <si>
    <t>★ RISDM — LAMEMBA ⚠️</t>
  </si>
  <si>
    <t>KRITIS: 12,6% — harus ≥15%</t>
  </si>
  <si>
    <t>★ RISP — LAMEMBA ⚠️</t>
  </si>
  <si>
    <t>KRITIS: 11,2% — harus ≥20%</t>
  </si>
  <si>
    <t>★ Varians Anggaran (VA)</t>
  </si>
  <si>
    <t>Perketat pengendalian — mendekati 10%</t>
  </si>
  <si>
    <t>★ IKK — LAMEMBA</t>
  </si>
  <si>
    <t>Pantau agar tidak turun di bawah 2,5</t>
  </si>
  <si>
    <t>★ Alokasi Tridharma (ATT)</t>
  </si>
  <si>
    <t>CFO/Warek I</t>
  </si>
  <si>
    <t>Pertahankan proporsionalitas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</si>
</sst>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2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375623"/>
      <name val="Arial"/>
      <charset val="1"/>
    </font>
    <font>
      <sz val="9"/>
      <color rgb="FF7F6000"/>
      <name val="Arial"/>
      <charset val="1"/>
    </font>
    <font>
      <b/>
      <sz val="9"/>
      <color rgb="FF375623"/>
      <name val="Arial"/>
      <charset val="1"/>
    </font>
    <font>
      <b/>
      <sz val="9"/>
      <color rgb="FFCC0000"/>
      <name val="Arial"/>
      <charset val="1"/>
    </font>
    <font>
      <sz val="9"/>
      <color rgb="FFCC0000"/>
      <name val="Arial"/>
      <charset val="1"/>
    </font>
    <font>
      <b/>
      <sz val="9"/>
      <color rgb="FF7F600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9"/>
      <color rgb="FF595959"/>
      <name val="Arial"/>
      <charset val="1"/>
    </font>
    <font>
      <b/>
      <sz val="10"/>
      <color rgb="FF000000"/>
      <name val="Arial"/>
      <charset val="1"/>
    </font>
    <font>
      <b/>
      <sz val="10"/>
      <color rgb="FF7F6000"/>
      <name val="Arial"/>
      <charset val="1"/>
    </font>
    <font>
      <b/>
      <sz val="10"/>
      <color rgb="FF375623"/>
      <name val="Arial"/>
      <charset val="1"/>
    </font>
    <font>
      <b/>
      <sz val="10"/>
      <color rgb="FFFF0000"/>
      <name val="Arial"/>
      <charset val="1"/>
    </font>
    <font>
      <sz val="9"/>
      <color rgb="FF1A3A5C"/>
      <name val="Arial"/>
      <charset val="1"/>
    </font>
    <font>
      <sz val="9"/>
      <color rgb="FF008000"/>
      <name val="Arial"/>
      <charset val="1"/>
    </font>
    <font>
      <sz val="10"/>
      <color rgb="FF7F6000"/>
      <name val="Arial"/>
      <charset val="1"/>
    </font>
    <font>
      <sz val="9"/>
      <color rgb="FF444444"/>
      <name val="Arial"/>
      <charset val="1"/>
    </font>
    <font>
      <b/>
      <sz val="9"/>
      <color rgb="FF008000"/>
      <name val="Arial"/>
      <charset val="1"/>
    </font>
    <font>
      <sz val="10"/>
      <color rgb="FF008000"/>
      <name val="Arial"/>
      <charset val="1"/>
    </font>
    <font>
      <sz val="10"/>
      <color rgb="FF375623"/>
      <name val="Arial"/>
      <charset val="1"/>
    </font>
    <font>
      <sz val="10"/>
      <color rgb="FF843C0C"/>
      <name val="Arial"/>
      <charset val="1"/>
    </font>
    <font>
      <b/>
      <sz val="10"/>
      <color rgb="FF008000"/>
      <name val="Arial"/>
      <charset val="1"/>
    </font>
    <font>
      <sz val="10"/>
      <color rgb="FF1F4E79"/>
      <name val="Arial"/>
      <charset val="1"/>
    </font>
    <font>
      <sz val="10"/>
      <color rgb="FF7030A0"/>
      <name val="Arial"/>
      <charset val="1"/>
    </font>
    <font>
      <b/>
      <sz val="10"/>
      <color rgb="FF1F4E79"/>
      <name val="Arial"/>
      <charset val="1"/>
    </font>
    <font>
      <b/>
      <sz val="14"/>
      <color rgb="FF7F6000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C07000"/>
        <bgColor rgb="FF7F6000"/>
      </patternFill>
    </fill>
    <fill>
      <patternFill patternType="solid">
        <fgColor rgb="FFF2F2F2"/>
        <bgColor rgb="FFF5F5F5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5F5F5"/>
      </patternFill>
    </fill>
    <fill>
      <patternFill patternType="solid">
        <fgColor rgb="FFFFFFC7"/>
        <bgColor rgb="FFFFF2CC"/>
      </patternFill>
    </fill>
    <fill>
      <patternFill patternType="solid">
        <fgColor rgb="FFEBCDD1"/>
        <bgColor rgb="FFD0D0D0"/>
      </patternFill>
    </fill>
    <fill>
      <patternFill patternType="solid">
        <fgColor rgb="FFFFF2CC"/>
        <bgColor rgb="FFFFFFC7"/>
      </patternFill>
    </fill>
    <fill>
      <patternFill patternType="solid">
        <fgColor rgb="FF1F4E79"/>
        <bgColor rgb="FF1F5C5C"/>
      </patternFill>
    </fill>
    <fill>
      <patternFill patternType="solid">
        <fgColor rgb="FFDEEAF1"/>
        <bgColor rgb="FFE2EFDA"/>
      </patternFill>
    </fill>
    <fill>
      <patternFill patternType="solid">
        <fgColor rgb="FFBDD7EE"/>
        <bgColor rgb="FFD0D0D0"/>
      </patternFill>
    </fill>
    <fill>
      <patternFill patternType="solid">
        <fgColor rgb="FFF5F5F5"/>
        <bgColor rgb="FFF2F2F2"/>
      </patternFill>
    </fill>
    <fill>
      <patternFill patternType="solid">
        <fgColor rgb="FF000000"/>
        <bgColor rgb="FF003300"/>
      </patternFill>
    </fill>
    <fill>
      <patternFill patternType="solid">
        <fgColor rgb="FF1F5C5C"/>
        <bgColor rgb="FF1F4E79"/>
      </patternFill>
    </fill>
    <fill>
      <patternFill patternType="solid">
        <fgColor rgb="FF375623"/>
        <bgColor rgb="FF444444"/>
      </patternFill>
    </fill>
    <fill>
      <patternFill patternType="solid">
        <fgColor rgb="FF7F6000"/>
        <bgColor rgb="FF843C0C"/>
      </patternFill>
    </fill>
    <fill>
      <patternFill patternType="solid">
        <fgColor rgb="FF44236A"/>
        <bgColor rgb="FF444444"/>
      </patternFill>
    </fill>
    <fill>
      <patternFill patternType="solid">
        <fgColor rgb="FF2E75B6"/>
        <bgColor rgb="FF008080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9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/>
    </xf>
    <xf numFmtId="3" fontId="13" fillId="5" borderId="2" xfId="0" applyNumberFormat="1" applyFont="1" applyFill="1" applyBorder="1" applyAlignment="1">
      <alignment horizontal="right" vertical="center"/>
    </xf>
    <xf numFmtId="0" fontId="14" fillId="3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/>
    </xf>
    <xf numFmtId="3" fontId="15" fillId="10" borderId="2" xfId="0" applyNumberFormat="1" applyFont="1" applyFill="1" applyBorder="1" applyAlignment="1">
      <alignment horizontal="right" vertical="center"/>
    </xf>
    <xf numFmtId="0" fontId="14" fillId="10" borderId="2" xfId="0" applyFont="1" applyFill="1" applyBorder="1" applyAlignment="1">
      <alignment horizontal="left" vertical="center" wrapText="1"/>
    </xf>
    <xf numFmtId="0" fontId="15" fillId="11" borderId="2" xfId="0" applyFont="1" applyFill="1" applyBorder="1" applyAlignment="1">
      <alignment horizontal="left" vertical="center"/>
    </xf>
    <xf numFmtId="3" fontId="15" fillId="11" borderId="2" xfId="0" applyNumberFormat="1" applyFont="1" applyFill="1" applyBorder="1" applyAlignment="1">
      <alignment horizontal="right" vertical="center"/>
    </xf>
    <xf numFmtId="0" fontId="12" fillId="11" borderId="2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left" vertical="center"/>
    </xf>
    <xf numFmtId="3" fontId="15" fillId="5" borderId="2" xfId="0" applyNumberFormat="1" applyFont="1" applyFill="1" applyBorder="1" applyAlignment="1">
      <alignment horizontal="right" vertical="center"/>
    </xf>
    <xf numFmtId="0" fontId="14" fillId="10" borderId="2" xfId="0" applyFont="1" applyFill="1" applyBorder="1" applyAlignment="1">
      <alignment horizontal="left" vertical="center"/>
    </xf>
    <xf numFmtId="3" fontId="12" fillId="5" borderId="2" xfId="0" applyNumberFormat="1" applyFont="1" applyFill="1" applyBorder="1" applyAlignment="1">
      <alignment horizontal="right" vertical="center"/>
    </xf>
    <xf numFmtId="3" fontId="12" fillId="10" borderId="2" xfId="0" applyNumberFormat="1" applyFont="1" applyFill="1" applyBorder="1" applyAlignment="1">
      <alignment horizontal="right" vertical="center"/>
    </xf>
    <xf numFmtId="10" fontId="12" fillId="10" borderId="2" xfId="0" applyNumberFormat="1" applyFont="1" applyFill="1" applyBorder="1" applyAlignment="1">
      <alignment horizontal="right" vertical="center"/>
    </xf>
    <xf numFmtId="0" fontId="16" fillId="6" borderId="2" xfId="0" applyFont="1" applyFill="1" applyBorder="1" applyAlignment="1">
      <alignment horizontal="left" vertical="center"/>
    </xf>
    <xf numFmtId="0" fontId="0" fillId="6" borderId="2" xfId="0" applyFill="1" applyBorder="1"/>
    <xf numFmtId="10" fontId="16" fillId="6" borderId="2" xfId="0" applyNumberFormat="1" applyFont="1" applyFill="1" applyBorder="1" applyAlignment="1">
      <alignment horizontal="right" vertical="center"/>
    </xf>
    <xf numFmtId="0" fontId="2" fillId="9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164" fontId="17" fillId="3" borderId="2" xfId="0" applyNumberFormat="1" applyFont="1" applyFill="1" applyBorder="1" applyAlignment="1">
      <alignment horizontal="center" vertical="center"/>
    </xf>
    <xf numFmtId="10" fontId="18" fillId="11" borderId="2" xfId="0" applyNumberFormat="1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left" vertical="center" wrapText="1"/>
    </xf>
    <xf numFmtId="10" fontId="20" fillId="10" borderId="2" xfId="0" applyNumberFormat="1" applyFont="1" applyFill="1" applyBorder="1" applyAlignment="1">
      <alignment horizontal="right" vertical="center"/>
    </xf>
    <xf numFmtId="10" fontId="20" fillId="3" borderId="2" xfId="0" applyNumberFormat="1" applyFont="1" applyFill="1" applyBorder="1" applyAlignment="1">
      <alignment horizontal="right" vertical="center"/>
    </xf>
    <xf numFmtId="0" fontId="13" fillId="13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2" fontId="21" fillId="6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left" vertical="center" wrapText="1"/>
    </xf>
    <xf numFmtId="2" fontId="20" fillId="10" borderId="2" xfId="0" applyNumberFormat="1" applyFont="1" applyFill="1" applyBorder="1" applyAlignment="1">
      <alignment horizontal="right" vertical="center"/>
    </xf>
    <xf numFmtId="2" fontId="20" fillId="3" borderId="2" xfId="0" applyNumberFormat="1" applyFont="1" applyFill="1" applyBorder="1" applyAlignment="1">
      <alignment horizontal="right" vertical="center"/>
    </xf>
    <xf numFmtId="0" fontId="20" fillId="4" borderId="2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center" vertical="center"/>
    </xf>
    <xf numFmtId="3" fontId="20" fillId="10" borderId="2" xfId="0" applyNumberFormat="1" applyFont="1" applyFill="1" applyBorder="1" applyAlignment="1">
      <alignment horizontal="right" vertical="center"/>
    </xf>
    <xf numFmtId="3" fontId="20" fillId="3" borderId="2" xfId="0" applyNumberFormat="1" applyFont="1" applyFill="1" applyBorder="1" applyAlignment="1">
      <alignment horizontal="right" vertical="center"/>
    </xf>
    <xf numFmtId="0" fontId="12" fillId="4" borderId="2" xfId="0" applyFont="1" applyFill="1" applyBorder="1" applyAlignment="1">
      <alignment horizontal="left" vertical="center"/>
    </xf>
    <xf numFmtId="0" fontId="23" fillId="4" borderId="2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left" vertical="center"/>
    </xf>
    <xf numFmtId="0" fontId="24" fillId="4" borderId="2" xfId="0" applyFont="1" applyFill="1" applyBorder="1" applyAlignment="1">
      <alignment horizontal="center" vertical="center"/>
    </xf>
    <xf numFmtId="0" fontId="0" fillId="0" borderId="2" xfId="0" applyBorder="1"/>
    <xf numFmtId="165" fontId="20" fillId="10" borderId="2" xfId="0" applyNumberFormat="1" applyFont="1" applyFill="1" applyBorder="1" applyAlignment="1">
      <alignment horizontal="right" vertical="center"/>
    </xf>
    <xf numFmtId="3" fontId="15" fillId="11" borderId="2" xfId="0" applyNumberFormat="1" applyFont="1" applyFill="1" applyBorder="1"/>
    <xf numFmtId="10" fontId="15" fillId="11" borderId="2" xfId="0" applyNumberFormat="1" applyFont="1" applyFill="1" applyBorder="1"/>
    <xf numFmtId="10" fontId="24" fillId="5" borderId="2" xfId="0" applyNumberFormat="1" applyFont="1" applyFill="1" applyBorder="1" applyAlignment="1">
      <alignment horizontal="right" vertical="center"/>
    </xf>
    <xf numFmtId="164" fontId="21" fillId="3" borderId="2" xfId="0" applyNumberFormat="1" applyFont="1" applyFill="1" applyBorder="1" applyAlignment="1">
      <alignment horizontal="center" vertical="center"/>
    </xf>
    <xf numFmtId="2" fontId="24" fillId="3" borderId="2" xfId="0" applyNumberFormat="1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10" fontId="15" fillId="11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165" fontId="15" fillId="11" borderId="2" xfId="0" applyNumberFormat="1" applyFont="1" applyFill="1" applyBorder="1" applyAlignment="1">
      <alignment horizontal="right" vertical="center"/>
    </xf>
    <xf numFmtId="0" fontId="15" fillId="5" borderId="2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0" fillId="5" borderId="2" xfId="0" applyFill="1" applyBorder="1"/>
    <xf numFmtId="0" fontId="21" fillId="6" borderId="2" xfId="0" applyFont="1" applyFill="1" applyBorder="1" applyAlignment="1">
      <alignment horizontal="left" vertical="center"/>
    </xf>
    <xf numFmtId="0" fontId="26" fillId="19" borderId="2" xfId="0" applyFont="1" applyFill="1" applyBorder="1" applyAlignment="1">
      <alignment horizontal="center" vertical="center"/>
    </xf>
    <xf numFmtId="0" fontId="26" fillId="19" borderId="2" xfId="0" applyFont="1" applyFill="1" applyBorder="1" applyAlignment="1">
      <alignment horizontal="left" vertical="center"/>
    </xf>
    <xf numFmtId="3" fontId="24" fillId="5" borderId="2" xfId="0" applyNumberFormat="1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3" fontId="2" fillId="9" borderId="2" xfId="0" applyNumberFormat="1" applyFont="1" applyFill="1" applyBorder="1" applyAlignment="1">
      <alignment horizontal="center" vertical="center"/>
    </xf>
    <xf numFmtId="164" fontId="27" fillId="3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/>
    </xf>
    <xf numFmtId="164" fontId="15" fillId="11" borderId="2" xfId="0" applyNumberFormat="1" applyFont="1" applyFill="1" applyBorder="1" applyAlignment="1">
      <alignment horizontal="right" vertical="center"/>
    </xf>
    <xf numFmtId="165" fontId="15" fillId="11" borderId="2" xfId="0" applyNumberFormat="1" applyFont="1" applyFill="1" applyBorder="1" applyAlignment="1">
      <alignment horizontal="center" vertical="center"/>
    </xf>
    <xf numFmtId="9" fontId="28" fillId="3" borderId="2" xfId="0" applyNumberFormat="1" applyFont="1" applyFill="1" applyBorder="1" applyAlignment="1">
      <alignment horizontal="center" vertical="center"/>
    </xf>
    <xf numFmtId="2" fontId="29" fillId="11" borderId="2" xfId="0" applyNumberFormat="1" applyFont="1" applyFill="1" applyBorder="1" applyAlignment="1">
      <alignment horizontal="right" vertical="center"/>
    </xf>
    <xf numFmtId="0" fontId="12" fillId="3" borderId="2" xfId="0" applyFont="1" applyFill="1" applyBorder="1" applyAlignment="1">
      <alignment horizontal="center" vertical="center"/>
    </xf>
    <xf numFmtId="0" fontId="0" fillId="11" borderId="2" xfId="0" applyFill="1" applyBorder="1"/>
    <xf numFmtId="2" fontId="30" fillId="11" borderId="2" xfId="0" applyNumberFormat="1" applyFont="1" applyFill="1" applyBorder="1" applyAlignment="1">
      <alignment horizontal="right" vertical="center"/>
    </xf>
    <xf numFmtId="0" fontId="14" fillId="3" borderId="2" xfId="0" applyFont="1" applyFill="1" applyBorder="1" applyAlignment="1">
      <alignment horizontal="center" vertical="center" wrapText="1"/>
    </xf>
    <xf numFmtId="3" fontId="31" fillId="8" borderId="2" xfId="0" applyNumberFormat="1" applyFont="1" applyFill="1" applyBorder="1" applyAlignment="1">
      <alignment horizontal="center" vertical="center"/>
    </xf>
    <xf numFmtId="10" fontId="31" fillId="8" borderId="2" xfId="0" applyNumberFormat="1" applyFont="1" applyFill="1" applyBorder="1" applyAlignment="1">
      <alignment horizontal="center" vertical="center"/>
    </xf>
    <xf numFmtId="165" fontId="31" fillId="8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165" fontId="24" fillId="5" borderId="2" xfId="0" applyNumberFormat="1" applyFont="1" applyFill="1" applyBorder="1" applyAlignment="1">
      <alignment horizontal="right" vertical="center"/>
    </xf>
    <xf numFmtId="2" fontId="24" fillId="5" borderId="2" xfId="0" applyNumberFormat="1" applyFont="1" applyFill="1" applyBorder="1" applyAlignment="1">
      <alignment horizontal="right" vertical="center"/>
    </xf>
    <xf numFmtId="0" fontId="2" fillId="9" borderId="2" xfId="0" applyFont="1" applyFill="1" applyBorder="1"/>
    <xf numFmtId="3" fontId="4" fillId="3" borderId="2" xfId="0" applyNumberFormat="1" applyFont="1" applyFill="1" applyBorder="1" applyAlignment="1">
      <alignment horizontal="center" vertical="center"/>
    </xf>
    <xf numFmtId="2" fontId="20" fillId="3" borderId="2" xfId="0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20" fillId="3" borderId="2" xfId="0" applyNumberFormat="1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2" fontId="20" fillId="5" borderId="2" xfId="0" applyNumberFormat="1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3" fontId="20" fillId="5" borderId="2" xfId="0" applyNumberFormat="1" applyFont="1" applyFill="1" applyBorder="1" applyAlignment="1">
      <alignment horizontal="center" vertical="center"/>
    </xf>
    <xf numFmtId="10" fontId="20" fillId="3" borderId="2" xfId="0" applyNumberFormat="1" applyFont="1" applyFill="1" applyBorder="1" applyAlignment="1">
      <alignment horizontal="center" vertical="center"/>
    </xf>
    <xf numFmtId="10" fontId="20" fillId="5" borderId="2" xfId="0" applyNumberFormat="1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0" fillId="11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7F6000"/>
      <rgbColor rgb="FF800080"/>
      <rgbColor rgb="FF1F5C5C"/>
      <rgbColor rgb="FFD0D0D0"/>
      <rgbColor rgb="FF808080"/>
      <rgbColor rgb="FF9999FF"/>
      <rgbColor rgb="FF7030A0"/>
      <rgbColor rgb="FFFFFFC7"/>
      <rgbColor rgb="FFDEEAF1"/>
      <rgbColor rgb="FF660066"/>
      <rgbColor rgb="FFFF8080"/>
      <rgbColor rgb="FF1F4E79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F5F5F5"/>
      <rgbColor rgb="FFFCE4D6"/>
      <rgbColor rgb="FFCC99FF"/>
      <rgbColor rgb="FFEBCDD1"/>
      <rgbColor rgb="FF2E75B6"/>
      <rgbColor rgb="FF33CCCC"/>
      <rgbColor rgb="FF99CC00"/>
      <rgbColor rgb="FFFFCC00"/>
      <rgbColor rgb="FFFF9900"/>
      <rgbColor rgb="FFC07000"/>
      <rgbColor rgb="FF595959"/>
      <rgbColor rgb="FF969696"/>
      <rgbColor rgb="FF1A3A5C"/>
      <rgbColor rgb="FF339966"/>
      <rgbColor rgb="FF003300"/>
      <rgbColor rgb="FF375623"/>
      <rgbColor rgb="FF843C0C"/>
      <rgbColor rgb="FF993366"/>
      <rgbColor rgb="FF44236A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Normal="100" workbookViewId="0"/>
  </sheetViews>
  <sheetFormatPr defaultColWidth="8.7109375" defaultRowHeight="15"/>
  <cols>
    <col min="1" max="1" width="54" customWidth="1"/>
    <col min="2" max="2" width="20" customWidth="1"/>
    <col min="3" max="3" width="66" customWidth="1"/>
  </cols>
  <sheetData>
    <row r="1" spans="1:3" ht="25.5" customHeight="1">
      <c r="A1" s="13" t="s">
        <v>0</v>
      </c>
      <c r="B1" s="13"/>
      <c r="C1" s="13"/>
    </row>
    <row r="2" spans="1:3" ht="6" customHeight="1"/>
    <row r="3" spans="1:3" ht="19.5" customHeight="1">
      <c r="A3" s="12" t="s">
        <v>1</v>
      </c>
      <c r="B3" s="12"/>
      <c r="C3" s="12"/>
    </row>
    <row r="4" spans="1:3" ht="15.75" customHeight="1">
      <c r="A4" s="14" t="s">
        <v>2</v>
      </c>
      <c r="B4" s="11" t="s">
        <v>3</v>
      </c>
      <c r="C4" s="11"/>
    </row>
    <row r="5" spans="1:3" ht="15.75" customHeight="1">
      <c r="A5" s="14" t="s">
        <v>4</v>
      </c>
      <c r="B5" s="11" t="s">
        <v>5</v>
      </c>
      <c r="C5" s="11"/>
    </row>
    <row r="6" spans="1:3" ht="15.75" customHeight="1">
      <c r="A6" s="14" t="s">
        <v>6</v>
      </c>
      <c r="B6" s="11" t="s">
        <v>7</v>
      </c>
      <c r="C6" s="11"/>
    </row>
    <row r="7" spans="1:3" ht="15.75" customHeight="1">
      <c r="A7" s="14" t="s">
        <v>8</v>
      </c>
      <c r="B7" s="11" t="s">
        <v>9</v>
      </c>
      <c r="C7" s="11"/>
    </row>
    <row r="8" spans="1:3" ht="15.75" customHeight="1">
      <c r="A8" s="14" t="s">
        <v>10</v>
      </c>
      <c r="B8" s="11" t="s">
        <v>11</v>
      </c>
      <c r="C8" s="11"/>
    </row>
    <row r="9" spans="1:3" ht="15.75" customHeight="1">
      <c r="A9" s="14" t="s">
        <v>12</v>
      </c>
      <c r="B9" s="11" t="s">
        <v>13</v>
      </c>
      <c r="C9" s="11"/>
    </row>
    <row r="10" spans="1:3" ht="15.75" customHeight="1">
      <c r="A10" s="14" t="s">
        <v>14</v>
      </c>
      <c r="B10" s="11" t="s">
        <v>15</v>
      </c>
      <c r="C10" s="11"/>
    </row>
    <row r="11" spans="1:3" ht="15.75" customHeight="1">
      <c r="A11" s="14" t="s">
        <v>16</v>
      </c>
      <c r="B11" s="11" t="s">
        <v>17</v>
      </c>
      <c r="C11" s="11"/>
    </row>
    <row r="12" spans="1:3" ht="6" customHeight="1"/>
    <row r="13" spans="1:3" ht="19.5" customHeight="1">
      <c r="A13" s="12" t="s">
        <v>18</v>
      </c>
      <c r="B13" s="12"/>
      <c r="C13" s="12"/>
    </row>
    <row r="14" spans="1:3" ht="15.75" customHeight="1">
      <c r="A14" s="14" t="s">
        <v>19</v>
      </c>
      <c r="B14" s="15" t="s">
        <v>20</v>
      </c>
      <c r="C14" s="16" t="s">
        <v>21</v>
      </c>
    </row>
    <row r="15" spans="1:3" ht="15.75" customHeight="1">
      <c r="A15" s="14" t="s">
        <v>22</v>
      </c>
      <c r="B15" s="15" t="s">
        <v>23</v>
      </c>
      <c r="C15" s="16" t="s">
        <v>24</v>
      </c>
    </row>
    <row r="16" spans="1:3" ht="15.75" customHeight="1">
      <c r="A16" s="14" t="s">
        <v>25</v>
      </c>
      <c r="B16" s="15" t="s">
        <v>26</v>
      </c>
      <c r="C16" s="16" t="s">
        <v>27</v>
      </c>
    </row>
    <row r="17" spans="1:3" ht="15.75" customHeight="1">
      <c r="A17" s="14" t="s">
        <v>28</v>
      </c>
      <c r="B17" s="15" t="s">
        <v>29</v>
      </c>
      <c r="C17" s="17" t="s">
        <v>30</v>
      </c>
    </row>
    <row r="18" spans="1:3" ht="15.75" customHeight="1">
      <c r="A18" s="14" t="s">
        <v>31</v>
      </c>
      <c r="B18" s="15" t="s">
        <v>32</v>
      </c>
      <c r="C18" s="17" t="s">
        <v>33</v>
      </c>
    </row>
    <row r="19" spans="1:3" ht="15.75" customHeight="1">
      <c r="A19" s="14" t="s">
        <v>34</v>
      </c>
      <c r="B19" s="15" t="s">
        <v>35</v>
      </c>
      <c r="C19" s="17" t="s">
        <v>36</v>
      </c>
    </row>
    <row r="20" spans="1:3" ht="15.75" customHeight="1">
      <c r="A20" s="14" t="s">
        <v>37</v>
      </c>
      <c r="B20" s="15" t="s">
        <v>38</v>
      </c>
      <c r="C20" s="16" t="s">
        <v>39</v>
      </c>
    </row>
    <row r="21" spans="1:3" ht="15.75" customHeight="1">
      <c r="A21" s="14" t="s">
        <v>40</v>
      </c>
      <c r="B21" s="15" t="s">
        <v>41</v>
      </c>
      <c r="C21" s="17" t="s">
        <v>42</v>
      </c>
    </row>
    <row r="22" spans="1:3" ht="15.75" customHeight="1">
      <c r="A22" s="14" t="s">
        <v>43</v>
      </c>
      <c r="B22" s="15" t="s">
        <v>44</v>
      </c>
      <c r="C22" s="17" t="s">
        <v>45</v>
      </c>
    </row>
    <row r="23" spans="1:3" ht="15.75" customHeight="1">
      <c r="A23" s="14" t="s">
        <v>46</v>
      </c>
      <c r="B23" s="15" t="s">
        <v>47</v>
      </c>
      <c r="C23" s="17" t="s">
        <v>48</v>
      </c>
    </row>
    <row r="24" spans="1:3" ht="6" customHeight="1"/>
    <row r="25" spans="1:3" ht="19.5" customHeight="1">
      <c r="A25" s="12" t="s">
        <v>49</v>
      </c>
      <c r="B25" s="12"/>
      <c r="C25" s="12"/>
    </row>
    <row r="26" spans="1:3" ht="18" customHeight="1">
      <c r="A26" s="18" t="s">
        <v>50</v>
      </c>
      <c r="B26" s="19" t="s">
        <v>51</v>
      </c>
      <c r="C26" s="20" t="s">
        <v>52</v>
      </c>
    </row>
    <row r="27" spans="1:3" ht="18" customHeight="1">
      <c r="A27" s="21" t="s">
        <v>53</v>
      </c>
      <c r="B27" s="22" t="s">
        <v>54</v>
      </c>
      <c r="C27" s="23" t="s">
        <v>55</v>
      </c>
    </row>
    <row r="28" spans="1:3" ht="18" customHeight="1">
      <c r="A28" s="18" t="s">
        <v>56</v>
      </c>
      <c r="B28" s="19" t="s">
        <v>57</v>
      </c>
      <c r="C28" s="20" t="s">
        <v>58</v>
      </c>
    </row>
    <row r="29" spans="1:3" ht="18" customHeight="1">
      <c r="A29" s="21" t="s">
        <v>59</v>
      </c>
      <c r="B29" s="22" t="s">
        <v>60</v>
      </c>
      <c r="C29" s="23" t="s">
        <v>61</v>
      </c>
    </row>
    <row r="30" spans="1:3" ht="18" customHeight="1">
      <c r="A30" s="21" t="s">
        <v>62</v>
      </c>
      <c r="B30" s="22" t="s">
        <v>63</v>
      </c>
      <c r="C30" s="23" t="s">
        <v>64</v>
      </c>
    </row>
    <row r="31" spans="1:3" ht="18" customHeight="1">
      <c r="A31" s="18" t="s">
        <v>65</v>
      </c>
      <c r="B31" s="19" t="s">
        <v>66</v>
      </c>
      <c r="C31" s="20" t="s">
        <v>67</v>
      </c>
    </row>
    <row r="32" spans="1:3" ht="18" customHeight="1">
      <c r="A32" s="24" t="s">
        <v>68</v>
      </c>
      <c r="B32" s="25" t="s">
        <v>69</v>
      </c>
      <c r="C32" s="26" t="s">
        <v>70</v>
      </c>
    </row>
    <row r="33" spans="1:3" ht="18" customHeight="1">
      <c r="A33" s="18" t="s">
        <v>71</v>
      </c>
      <c r="B33" s="19" t="s">
        <v>72</v>
      </c>
      <c r="C33" s="20" t="s">
        <v>73</v>
      </c>
    </row>
    <row r="34" spans="1:3" ht="18" customHeight="1">
      <c r="A34" s="18" t="s">
        <v>74</v>
      </c>
      <c r="B34" s="19" t="s">
        <v>75</v>
      </c>
      <c r="C34" s="20" t="s">
        <v>76</v>
      </c>
    </row>
    <row r="35" spans="1:3" ht="18" customHeight="1">
      <c r="A35" s="18" t="s">
        <v>77</v>
      </c>
      <c r="B35" s="19" t="s">
        <v>78</v>
      </c>
      <c r="C35" s="20" t="s">
        <v>79</v>
      </c>
    </row>
    <row r="36" spans="1:3" ht="6" customHeight="1"/>
    <row r="37" spans="1:3" ht="19.5" customHeight="1">
      <c r="A37" s="12" t="s">
        <v>80</v>
      </c>
      <c r="B37" s="12"/>
      <c r="C37" s="12"/>
    </row>
    <row r="38" spans="1:3" ht="30" customHeight="1">
      <c r="A38" s="27" t="s">
        <v>81</v>
      </c>
      <c r="B38" s="28" t="s">
        <v>82</v>
      </c>
      <c r="C38" s="29" t="s">
        <v>83</v>
      </c>
    </row>
    <row r="39" spans="1:3" ht="30" customHeight="1">
      <c r="A39" s="27" t="s">
        <v>84</v>
      </c>
      <c r="B39" s="28" t="s">
        <v>85</v>
      </c>
      <c r="C39" s="29" t="s">
        <v>86</v>
      </c>
    </row>
    <row r="40" spans="1:3" ht="30" customHeight="1">
      <c r="A40" s="27" t="s">
        <v>87</v>
      </c>
      <c r="B40" s="28" t="s">
        <v>88</v>
      </c>
      <c r="C40" s="29" t="s">
        <v>89</v>
      </c>
    </row>
    <row r="41" spans="1:3" ht="30" customHeight="1">
      <c r="A41" s="27" t="s">
        <v>90</v>
      </c>
      <c r="B41" s="28" t="s">
        <v>91</v>
      </c>
      <c r="C41" s="29" t="s">
        <v>92</v>
      </c>
    </row>
    <row r="42" spans="1:3" ht="30" customHeight="1">
      <c r="A42" s="27" t="s">
        <v>93</v>
      </c>
      <c r="B42" s="28" t="s">
        <v>94</v>
      </c>
      <c r="C42" s="29" t="s">
        <v>95</v>
      </c>
    </row>
    <row r="43" spans="1:3" ht="30" customHeight="1">
      <c r="A43" s="27" t="s">
        <v>96</v>
      </c>
      <c r="B43" s="28" t="s">
        <v>97</v>
      </c>
      <c r="C43" s="29" t="s">
        <v>98</v>
      </c>
    </row>
  </sheetData>
  <mergeCells count="13">
    <mergeCell ref="A13:C13"/>
    <mergeCell ref="A25:C25"/>
    <mergeCell ref="A37:C37"/>
    <mergeCell ref="B7:C7"/>
    <mergeCell ref="B8:C8"/>
    <mergeCell ref="B9:C9"/>
    <mergeCell ref="B10:C10"/>
    <mergeCell ref="B11:C11"/>
    <mergeCell ref="A1:C1"/>
    <mergeCell ref="A3:C3"/>
    <mergeCell ref="B4:C4"/>
    <mergeCell ref="B5:C5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"/>
  <sheetViews>
    <sheetView zoomScaleNormal="100" workbookViewId="0"/>
  </sheetViews>
  <sheetFormatPr defaultColWidth="8.7109375" defaultRowHeight="15"/>
  <cols>
    <col min="1" max="1" width="54" customWidth="1"/>
    <col min="2" max="4" width="22" customWidth="1"/>
    <col min="5" max="5" width="32" customWidth="1"/>
  </cols>
  <sheetData>
    <row r="1" spans="1:5" ht="25.5" customHeight="1">
      <c r="A1" s="13" t="s">
        <v>99</v>
      </c>
      <c r="B1" s="13"/>
      <c r="C1" s="13"/>
      <c r="D1" s="13"/>
      <c r="E1" s="13"/>
    </row>
    <row r="2" spans="1:5" ht="18" customHeight="1">
      <c r="A2" s="10" t="s">
        <v>100</v>
      </c>
      <c r="B2" s="10"/>
      <c r="C2" s="10"/>
      <c r="D2" s="10"/>
      <c r="E2" s="10"/>
    </row>
    <row r="3" spans="1:5" ht="7.5" customHeight="1"/>
    <row r="4" spans="1:5" ht="21.75" customHeight="1">
      <c r="A4" s="9" t="s">
        <v>101</v>
      </c>
      <c r="B4" s="9"/>
      <c r="C4" s="9"/>
      <c r="D4" s="9"/>
      <c r="E4" s="9"/>
    </row>
    <row r="5" spans="1:5" ht="21.75" customHeight="1">
      <c r="A5" s="30" t="s">
        <v>102</v>
      </c>
      <c r="B5" s="30" t="s">
        <v>103</v>
      </c>
      <c r="C5" s="30" t="s">
        <v>104</v>
      </c>
      <c r="D5" s="30" t="s">
        <v>105</v>
      </c>
      <c r="E5" s="30" t="s">
        <v>106</v>
      </c>
    </row>
    <row r="6" spans="1:5" ht="18" customHeight="1">
      <c r="A6" s="31" t="s">
        <v>107</v>
      </c>
      <c r="B6" s="32">
        <v>33600000000</v>
      </c>
      <c r="C6" s="32">
        <v>31200000000</v>
      </c>
      <c r="D6" s="32">
        <v>28800000000</v>
      </c>
      <c r="E6" s="33" t="s">
        <v>108</v>
      </c>
    </row>
    <row r="7" spans="1:5" ht="18" customHeight="1">
      <c r="A7" s="31" t="s">
        <v>109</v>
      </c>
      <c r="B7" s="32">
        <v>-9408000000</v>
      </c>
      <c r="C7" s="32">
        <v>-8736000000</v>
      </c>
      <c r="D7" s="32">
        <v>-8064000000</v>
      </c>
      <c r="E7" s="33" t="s">
        <v>110</v>
      </c>
    </row>
    <row r="8" spans="1:5" ht="18" customHeight="1">
      <c r="A8" s="31" t="s">
        <v>111</v>
      </c>
      <c r="B8" s="32">
        <v>5500000000</v>
      </c>
      <c r="C8" s="32">
        <v>5100000000</v>
      </c>
      <c r="D8" s="32">
        <v>4700000000</v>
      </c>
      <c r="E8" s="33" t="s">
        <v>112</v>
      </c>
    </row>
    <row r="9" spans="1:5" ht="18" customHeight="1">
      <c r="A9" s="31" t="s">
        <v>113</v>
      </c>
      <c r="B9" s="32">
        <v>4200000000</v>
      </c>
      <c r="C9" s="32">
        <v>3600000000</v>
      </c>
      <c r="D9" s="32">
        <v>3100000000</v>
      </c>
      <c r="E9" s="33" t="s">
        <v>114</v>
      </c>
    </row>
    <row r="10" spans="1:5" ht="18" customHeight="1">
      <c r="A10" s="31" t="s">
        <v>115</v>
      </c>
      <c r="B10" s="32">
        <v>2000000000</v>
      </c>
      <c r="C10" s="32">
        <v>1700000000</v>
      </c>
      <c r="D10" s="32">
        <v>1450000000</v>
      </c>
      <c r="E10" s="33" t="s">
        <v>116</v>
      </c>
    </row>
    <row r="11" spans="1:5" ht="18" customHeight="1">
      <c r="A11" s="31" t="s">
        <v>117</v>
      </c>
      <c r="B11" s="32">
        <v>3800000000</v>
      </c>
      <c r="C11" s="32">
        <v>3400000000</v>
      </c>
      <c r="D11" s="32">
        <v>2900000000</v>
      </c>
      <c r="E11" s="33" t="s">
        <v>118</v>
      </c>
    </row>
    <row r="12" spans="1:5" ht="18" customHeight="1">
      <c r="A12" s="31" t="s">
        <v>119</v>
      </c>
      <c r="B12" s="32">
        <v>800000000</v>
      </c>
      <c r="C12" s="32">
        <v>680000000</v>
      </c>
      <c r="D12" s="32">
        <v>580000000</v>
      </c>
      <c r="E12" s="33" t="s">
        <v>120</v>
      </c>
    </row>
    <row r="13" spans="1:5" ht="18" customHeight="1">
      <c r="A13" s="31" t="s">
        <v>121</v>
      </c>
      <c r="B13" s="32">
        <v>900000000</v>
      </c>
      <c r="C13" s="32">
        <v>760000000</v>
      </c>
      <c r="D13" s="32">
        <v>650000000</v>
      </c>
      <c r="E13" s="33" t="s">
        <v>122</v>
      </c>
    </row>
    <row r="14" spans="1:5" ht="18" customHeight="1">
      <c r="A14" s="34" t="s">
        <v>123</v>
      </c>
      <c r="B14" s="35">
        <f>B6+B7</f>
        <v>24192000000</v>
      </c>
      <c r="C14" s="35">
        <f>C6+C7</f>
        <v>22464000000</v>
      </c>
      <c r="D14" s="35">
        <f>D6+D7</f>
        <v>20736000000</v>
      </c>
      <c r="E14" s="36" t="s">
        <v>124</v>
      </c>
    </row>
    <row r="15" spans="1:5" ht="18" customHeight="1">
      <c r="A15" s="34" t="s">
        <v>125</v>
      </c>
      <c r="B15" s="35">
        <f>B6+B7+B9+B10+B11+B12+B13</f>
        <v>35892000000</v>
      </c>
      <c r="C15" s="35">
        <f>C6+C7+C9+C10+C11+C12+C13</f>
        <v>32604000000</v>
      </c>
      <c r="D15" s="35">
        <f>D6+D7+D9+D10+D11+D12+D13</f>
        <v>29416000000</v>
      </c>
      <c r="E15" s="36" t="s">
        <v>124</v>
      </c>
    </row>
    <row r="16" spans="1:5" ht="21.75" customHeight="1">
      <c r="A16" s="37" t="s">
        <v>126</v>
      </c>
      <c r="B16" s="38">
        <f>SUM(B6:B13)</f>
        <v>41392000000</v>
      </c>
      <c r="C16" s="38">
        <f>SUM(C6:C13)</f>
        <v>37704000000</v>
      </c>
      <c r="D16" s="38">
        <f>SUM(D6:D13)</f>
        <v>34116000000</v>
      </c>
      <c r="E16" s="39"/>
    </row>
    <row r="17" spans="1:5" ht="7.5" customHeight="1"/>
    <row r="18" spans="1:5" ht="21.75" customHeight="1">
      <c r="A18" s="9" t="s">
        <v>127</v>
      </c>
      <c r="B18" s="9"/>
      <c r="C18" s="9"/>
      <c r="D18" s="9"/>
      <c r="E18" s="9"/>
    </row>
    <row r="19" spans="1:5" ht="21.75" customHeight="1">
      <c r="A19" s="30" t="s">
        <v>128</v>
      </c>
      <c r="B19" s="30" t="s">
        <v>103</v>
      </c>
      <c r="C19" s="30" t="s">
        <v>104</v>
      </c>
      <c r="D19" s="30" t="s">
        <v>105</v>
      </c>
      <c r="E19" s="30" t="s">
        <v>106</v>
      </c>
    </row>
    <row r="20" spans="1:5" ht="21.75" customHeight="1">
      <c r="A20" s="31" t="s">
        <v>129</v>
      </c>
      <c r="B20" s="32">
        <v>24000000000</v>
      </c>
      <c r="C20" s="32">
        <v>21000000000</v>
      </c>
      <c r="D20" s="32">
        <v>18200000000</v>
      </c>
      <c r="E20" s="33" t="s">
        <v>130</v>
      </c>
    </row>
    <row r="21" spans="1:5" ht="18" customHeight="1">
      <c r="A21" s="31" t="s">
        <v>131</v>
      </c>
      <c r="B21" s="32">
        <v>3800000000</v>
      </c>
      <c r="C21" s="32">
        <v>3400000000</v>
      </c>
      <c r="D21" s="32">
        <v>2960000000</v>
      </c>
      <c r="E21" s="33" t="s">
        <v>132</v>
      </c>
    </row>
    <row r="22" spans="1:5" ht="18" customHeight="1">
      <c r="A22" s="31" t="s">
        <v>133</v>
      </c>
      <c r="B22" s="32">
        <v>19200000000</v>
      </c>
      <c r="C22" s="32">
        <v>16800000000</v>
      </c>
      <c r="D22" s="32">
        <v>14560000000</v>
      </c>
      <c r="E22" s="33" t="s">
        <v>134</v>
      </c>
    </row>
    <row r="23" spans="1:5" ht="18" customHeight="1">
      <c r="A23" s="31" t="s">
        <v>135</v>
      </c>
      <c r="B23" s="32">
        <v>5200000000</v>
      </c>
      <c r="C23" s="32">
        <v>4600000000</v>
      </c>
      <c r="D23" s="32">
        <v>4000000000</v>
      </c>
      <c r="E23" s="33" t="s">
        <v>136</v>
      </c>
    </row>
    <row r="24" spans="1:5" ht="18" customHeight="1">
      <c r="A24" s="31" t="s">
        <v>137</v>
      </c>
      <c r="B24" s="32">
        <v>2800000000</v>
      </c>
      <c r="C24" s="32">
        <v>2500000000</v>
      </c>
      <c r="D24" s="32">
        <v>2200000000</v>
      </c>
      <c r="E24" s="33" t="s">
        <v>138</v>
      </c>
    </row>
    <row r="25" spans="1:5" ht="18" customHeight="1">
      <c r="A25" s="31" t="s">
        <v>139</v>
      </c>
      <c r="B25" s="32">
        <v>1800000000</v>
      </c>
      <c r="C25" s="32">
        <v>1600000000</v>
      </c>
      <c r="D25" s="32">
        <v>1400000000</v>
      </c>
      <c r="E25" s="33" t="s">
        <v>140</v>
      </c>
    </row>
    <row r="26" spans="1:5" ht="18" customHeight="1">
      <c r="A26" s="31" t="s">
        <v>141</v>
      </c>
      <c r="B26" s="32">
        <v>700000000</v>
      </c>
      <c r="C26" s="32">
        <v>640000000</v>
      </c>
      <c r="D26" s="32">
        <v>570000000</v>
      </c>
      <c r="E26" s="33" t="s">
        <v>142</v>
      </c>
    </row>
    <row r="27" spans="1:5" ht="18" customHeight="1">
      <c r="A27" s="31" t="s">
        <v>143</v>
      </c>
      <c r="B27" s="32">
        <v>1000000000</v>
      </c>
      <c r="C27" s="32">
        <v>900000000</v>
      </c>
      <c r="D27" s="32">
        <v>800000000</v>
      </c>
      <c r="E27" s="33" t="s">
        <v>144</v>
      </c>
    </row>
    <row r="28" spans="1:5" ht="18" customHeight="1">
      <c r="A28" s="31" t="s">
        <v>145</v>
      </c>
      <c r="B28" s="32">
        <v>1600000000</v>
      </c>
      <c r="C28" s="32">
        <v>1480000000</v>
      </c>
      <c r="D28" s="32">
        <v>1350000000</v>
      </c>
      <c r="E28" s="33" t="s">
        <v>146</v>
      </c>
    </row>
    <row r="29" spans="1:5" ht="18" customHeight="1">
      <c r="A29" s="31" t="s">
        <v>147</v>
      </c>
      <c r="B29" s="32">
        <v>250000000</v>
      </c>
      <c r="C29" s="32">
        <v>220000000</v>
      </c>
      <c r="D29" s="32">
        <v>190000000</v>
      </c>
      <c r="E29" s="33"/>
    </row>
    <row r="30" spans="1:5" ht="21.75" customHeight="1">
      <c r="A30" s="37" t="s">
        <v>148</v>
      </c>
      <c r="B30" s="38">
        <f>SUM(B20:B21)+SUM(B23:B29)</f>
        <v>41150000000</v>
      </c>
      <c r="C30" s="38">
        <f>SUM(C20:C21)+SUM(C23:C29)</f>
        <v>36340000000</v>
      </c>
      <c r="D30" s="38">
        <f>SUM(D20:D21)+SUM(D23:D29)</f>
        <v>31670000000</v>
      </c>
      <c r="E30" s="39"/>
    </row>
    <row r="31" spans="1:5" ht="7.5" customHeight="1"/>
    <row r="32" spans="1:5" ht="21.75" customHeight="1">
      <c r="A32" s="9" t="s">
        <v>149</v>
      </c>
      <c r="B32" s="9"/>
      <c r="C32" s="9"/>
      <c r="D32" s="9"/>
      <c r="E32" s="9"/>
    </row>
    <row r="33" spans="1:5" ht="21.75" customHeight="1">
      <c r="A33" s="30" t="s">
        <v>150</v>
      </c>
      <c r="B33" s="30" t="s">
        <v>103</v>
      </c>
      <c r="C33" s="30" t="s">
        <v>104</v>
      </c>
      <c r="D33" s="30" t="s">
        <v>105</v>
      </c>
      <c r="E33" s="30" t="s">
        <v>106</v>
      </c>
    </row>
    <row r="34" spans="1:5" ht="18" customHeight="1">
      <c r="A34" s="31" t="s">
        <v>151</v>
      </c>
      <c r="B34" s="32">
        <v>10500000000</v>
      </c>
      <c r="C34" s="32">
        <v>9100000000</v>
      </c>
      <c r="D34" s="32">
        <v>7900000000</v>
      </c>
      <c r="E34" s="33" t="s">
        <v>152</v>
      </c>
    </row>
    <row r="35" spans="1:5" ht="18" customHeight="1">
      <c r="A35" s="31" t="s">
        <v>153</v>
      </c>
      <c r="B35" s="32">
        <v>7500000000</v>
      </c>
      <c r="C35" s="32">
        <v>6500000000</v>
      </c>
      <c r="D35" s="32">
        <v>5650000000</v>
      </c>
      <c r="E35" s="33" t="s">
        <v>154</v>
      </c>
    </row>
    <row r="36" spans="1:5" ht="18" customHeight="1">
      <c r="A36" s="31" t="s">
        <v>155</v>
      </c>
      <c r="B36" s="32">
        <v>5200000000</v>
      </c>
      <c r="C36" s="32">
        <v>4600000000</v>
      </c>
      <c r="D36" s="32">
        <v>4100000000</v>
      </c>
      <c r="E36" s="33" t="s">
        <v>156</v>
      </c>
    </row>
    <row r="37" spans="1:5" ht="18" customHeight="1">
      <c r="A37" s="31" t="s">
        <v>157</v>
      </c>
      <c r="B37" s="32">
        <v>1200000000</v>
      </c>
      <c r="C37" s="32">
        <v>1050000000</v>
      </c>
      <c r="D37" s="32">
        <v>920000000</v>
      </c>
      <c r="E37" s="33"/>
    </row>
    <row r="38" spans="1:5" ht="18" customHeight="1">
      <c r="A38" s="31" t="s">
        <v>158</v>
      </c>
      <c r="B38" s="32">
        <v>58000000000</v>
      </c>
      <c r="C38" s="32">
        <v>52500000000</v>
      </c>
      <c r="D38" s="32">
        <v>47500000000</v>
      </c>
      <c r="E38" s="33" t="s">
        <v>159</v>
      </c>
    </row>
    <row r="39" spans="1:5" ht="18" customHeight="1">
      <c r="A39" s="31" t="s">
        <v>160</v>
      </c>
      <c r="B39" s="32">
        <v>8000000000</v>
      </c>
      <c r="C39" s="32">
        <v>6900000000</v>
      </c>
      <c r="D39" s="32">
        <v>5900000000</v>
      </c>
      <c r="E39" s="33" t="s">
        <v>161</v>
      </c>
    </row>
    <row r="40" spans="1:5" ht="18" customHeight="1">
      <c r="A40" s="40" t="s">
        <v>162</v>
      </c>
      <c r="B40" s="41">
        <f>SUM(B34:B39)</f>
        <v>90400000000</v>
      </c>
      <c r="C40" s="41">
        <f>SUM(C34:C39)</f>
        <v>80650000000</v>
      </c>
      <c r="D40" s="41">
        <f>SUM(D34:D39)</f>
        <v>71970000000</v>
      </c>
      <c r="E40" s="42" t="s">
        <v>163</v>
      </c>
    </row>
    <row r="41" spans="1:5" ht="18" customHeight="1">
      <c r="A41" s="31" t="s">
        <v>164</v>
      </c>
      <c r="B41" s="32">
        <v>14000000000</v>
      </c>
      <c r="C41" s="32">
        <v>12500000000</v>
      </c>
      <c r="D41" s="32">
        <v>11000000000</v>
      </c>
      <c r="E41" s="33" t="s">
        <v>165</v>
      </c>
    </row>
    <row r="42" spans="1:5" ht="18" customHeight="1">
      <c r="A42" s="31" t="s">
        <v>166</v>
      </c>
      <c r="B42" s="32">
        <v>22000000000</v>
      </c>
      <c r="C42" s="32">
        <v>20000000000</v>
      </c>
      <c r="D42" s="32">
        <v>18000000000</v>
      </c>
      <c r="E42" s="33" t="s">
        <v>167</v>
      </c>
    </row>
    <row r="43" spans="1:5" ht="18" customHeight="1">
      <c r="A43" s="31" t="s">
        <v>168</v>
      </c>
      <c r="B43" s="32">
        <v>18000000000</v>
      </c>
      <c r="C43" s="32">
        <v>15500000000</v>
      </c>
      <c r="D43" s="32">
        <v>13200000000</v>
      </c>
      <c r="E43" s="33" t="s">
        <v>169</v>
      </c>
    </row>
    <row r="44" spans="1:5" ht="18" customHeight="1">
      <c r="A44" s="31" t="s">
        <v>170</v>
      </c>
      <c r="B44" s="32">
        <v>600000000</v>
      </c>
      <c r="C44" s="32">
        <v>480000000</v>
      </c>
      <c r="D44" s="32">
        <v>380000000</v>
      </c>
      <c r="E44" s="33" t="s">
        <v>171</v>
      </c>
    </row>
    <row r="45" spans="1:5" ht="18" customHeight="1">
      <c r="A45" s="31" t="s">
        <v>172</v>
      </c>
      <c r="B45" s="32">
        <v>42000000000</v>
      </c>
      <c r="C45" s="32">
        <v>36500000000</v>
      </c>
      <c r="D45" s="32">
        <v>31800000000</v>
      </c>
      <c r="E45" s="33"/>
    </row>
    <row r="46" spans="1:5" ht="18" customHeight="1">
      <c r="A46" s="31" t="s">
        <v>173</v>
      </c>
      <c r="B46" s="32">
        <v>2200000000</v>
      </c>
      <c r="C46" s="32">
        <v>2000000000</v>
      </c>
      <c r="D46" s="32">
        <v>1820000000</v>
      </c>
      <c r="E46" s="33" t="s">
        <v>174</v>
      </c>
    </row>
    <row r="47" spans="1:5" ht="18" customHeight="1">
      <c r="A47" s="31" t="s">
        <v>175</v>
      </c>
      <c r="B47" s="32">
        <v>28000000000</v>
      </c>
      <c r="C47" s="32">
        <v>24500000000</v>
      </c>
      <c r="D47" s="32">
        <v>21200000000</v>
      </c>
      <c r="E47" s="33"/>
    </row>
    <row r="48" spans="1:5" ht="18" customHeight="1">
      <c r="A48" s="31" t="s">
        <v>176</v>
      </c>
      <c r="B48" s="32">
        <v>16000000000</v>
      </c>
      <c r="C48" s="32">
        <v>14200000000</v>
      </c>
      <c r="D48" s="32">
        <v>12400000000</v>
      </c>
      <c r="E48" s="33"/>
    </row>
    <row r="49" spans="1:5" ht="18" customHeight="1">
      <c r="A49" s="34" t="s">
        <v>177</v>
      </c>
      <c r="B49" s="35">
        <f>B34+B35+B36+B37</f>
        <v>24400000000</v>
      </c>
      <c r="C49" s="35">
        <f>C34+C35+C36+C37</f>
        <v>21250000000</v>
      </c>
      <c r="D49" s="35">
        <f>D34+D35+D36+D37</f>
        <v>18570000000</v>
      </c>
      <c r="E49" s="36" t="s">
        <v>124</v>
      </c>
    </row>
    <row r="50" spans="1:5" ht="18" customHeight="1">
      <c r="A50" s="34" t="s">
        <v>178</v>
      </c>
      <c r="B50" s="35">
        <f>AVERAGE(B39,C39,D39)</f>
        <v>6933333333.333333</v>
      </c>
      <c r="C50" s="35" t="s">
        <v>179</v>
      </c>
      <c r="D50" s="35" t="s">
        <v>179</v>
      </c>
      <c r="E50" s="36" t="s">
        <v>180</v>
      </c>
    </row>
    <row r="51" spans="1:5" ht="7.5" customHeight="1"/>
    <row r="52" spans="1:5" ht="21.75" customHeight="1">
      <c r="A52" s="9" t="s">
        <v>181</v>
      </c>
      <c r="B52" s="9"/>
      <c r="C52" s="9"/>
      <c r="D52" s="9"/>
      <c r="E52" s="9"/>
    </row>
    <row r="53" spans="1:5" ht="21.75" customHeight="1">
      <c r="A53" s="30" t="s">
        <v>182</v>
      </c>
      <c r="B53" s="30" t="s">
        <v>183</v>
      </c>
      <c r="C53" s="30" t="s">
        <v>184</v>
      </c>
      <c r="D53" s="30" t="s">
        <v>185</v>
      </c>
      <c r="E53" s="30" t="s">
        <v>186</v>
      </c>
    </row>
    <row r="54" spans="1:5" ht="18" customHeight="1">
      <c r="A54" s="31" t="s">
        <v>25</v>
      </c>
      <c r="B54" s="32">
        <v>38800000000</v>
      </c>
      <c r="C54" s="43">
        <f>B16</f>
        <v>41392000000</v>
      </c>
      <c r="D54" s="44">
        <f>C54-B54</f>
        <v>2592000000</v>
      </c>
      <c r="E54" s="45">
        <f>IF(B54=0,0,(C54-B54)/B54)</f>
        <v>6.6804123711340202E-2</v>
      </c>
    </row>
    <row r="55" spans="1:5" ht="18" customHeight="1">
      <c r="A55" s="31" t="s">
        <v>187</v>
      </c>
      <c r="B55" s="32">
        <v>22000000000</v>
      </c>
      <c r="C55" s="43">
        <f>B20</f>
        <v>24000000000</v>
      </c>
      <c r="D55" s="44">
        <f>C55-B55</f>
        <v>2000000000</v>
      </c>
      <c r="E55" s="45">
        <f>IF(B55=0,0,(C55-B55)/B55)</f>
        <v>9.0909090909090912E-2</v>
      </c>
    </row>
    <row r="56" spans="1:5" ht="18" customHeight="1">
      <c r="A56" s="31" t="s">
        <v>188</v>
      </c>
      <c r="B56" s="32">
        <v>4800000000</v>
      </c>
      <c r="C56" s="43">
        <f>B23</f>
        <v>5200000000</v>
      </c>
      <c r="D56" s="44">
        <f>C56-B56</f>
        <v>400000000</v>
      </c>
      <c r="E56" s="45">
        <f>IF(B56=0,0,(C56-B56)/B56)</f>
        <v>8.3333333333333329E-2</v>
      </c>
    </row>
    <row r="57" spans="1:5" ht="18" customHeight="1">
      <c r="A57" s="31" t="s">
        <v>189</v>
      </c>
      <c r="B57" s="32">
        <v>4200000000</v>
      </c>
      <c r="C57" s="43">
        <f>B24+B25</f>
        <v>4600000000</v>
      </c>
      <c r="D57" s="44">
        <f>C57-B57</f>
        <v>400000000</v>
      </c>
      <c r="E57" s="45">
        <f>IF(B57=0,0,(C57-B57)/B57)</f>
        <v>9.5238095238095233E-2</v>
      </c>
    </row>
    <row r="58" spans="1:5" ht="18" customHeight="1">
      <c r="A58" s="31" t="s">
        <v>190</v>
      </c>
      <c r="B58" s="32">
        <v>3650000000</v>
      </c>
      <c r="C58" s="43">
        <f>B21</f>
        <v>3800000000</v>
      </c>
      <c r="D58" s="44">
        <f>C58-B58</f>
        <v>150000000</v>
      </c>
      <c r="E58" s="45">
        <f>IF(B58=0,0,(C58-B58)/B58)</f>
        <v>4.1095890410958902E-2</v>
      </c>
    </row>
    <row r="59" spans="1:5" ht="18" customHeight="1">
      <c r="A59" s="31" t="s">
        <v>191</v>
      </c>
      <c r="B59" s="32">
        <v>38400000000</v>
      </c>
      <c r="C59" s="43">
        <f>B30</f>
        <v>41150000000</v>
      </c>
      <c r="D59" s="44">
        <f>C59-B59</f>
        <v>2750000000</v>
      </c>
      <c r="E59" s="45">
        <f>IF(B59=0,0,(C59-B59)/B59)</f>
        <v>7.1614583333333329E-2</v>
      </c>
    </row>
    <row r="60" spans="1:5" ht="19.5" customHeight="1">
      <c r="A60" s="46" t="s">
        <v>192</v>
      </c>
      <c r="B60" s="47"/>
      <c r="C60" s="47"/>
      <c r="D60" s="47"/>
      <c r="E60" s="48">
        <f>AVERAGE(ABS(E54),ABS(E55),ABS(E56),ABS(E57),ABS(E58),ABS(E59))</f>
        <v>7.4832519489358651E-2</v>
      </c>
    </row>
    <row r="61" spans="1:5" ht="7.5" customHeight="1"/>
    <row r="62" spans="1:5" ht="21.75" customHeight="1">
      <c r="A62" s="9" t="s">
        <v>193</v>
      </c>
      <c r="B62" s="9"/>
      <c r="C62" s="9"/>
      <c r="D62" s="9"/>
      <c r="E62" s="9"/>
    </row>
    <row r="63" spans="1:5" ht="21.75" customHeight="1">
      <c r="A63" s="49" t="s">
        <v>194</v>
      </c>
      <c r="B63" s="49" t="s">
        <v>195</v>
      </c>
      <c r="C63" s="49" t="s">
        <v>196</v>
      </c>
      <c r="D63" s="49" t="s">
        <v>197</v>
      </c>
      <c r="E63" s="49" t="s">
        <v>198</v>
      </c>
    </row>
    <row r="64" spans="1:5" ht="18" customHeight="1">
      <c r="A64" s="50" t="s">
        <v>199</v>
      </c>
      <c r="B64" s="32">
        <v>13920000000</v>
      </c>
      <c r="C64" s="51">
        <v>0.5</v>
      </c>
      <c r="D64" s="44">
        <f>$B$20*C64</f>
        <v>12000000000</v>
      </c>
      <c r="E64" s="45">
        <f>IF(SUM($B$64:$B$66)=0,0,B64/SUM($B$64:$B$66))</f>
        <v>0.57999999999999996</v>
      </c>
    </row>
    <row r="65" spans="1:5" ht="18" customHeight="1">
      <c r="A65" s="50" t="s">
        <v>200</v>
      </c>
      <c r="B65" s="32">
        <v>6720000000</v>
      </c>
      <c r="C65" s="51">
        <v>0.3</v>
      </c>
      <c r="D65" s="44">
        <f>$B$20*C65</f>
        <v>7200000000</v>
      </c>
      <c r="E65" s="45">
        <f>IF(SUM($B$64:$B$66)=0,0,B65/SUM($B$64:$B$66))</f>
        <v>0.28000000000000003</v>
      </c>
    </row>
    <row r="66" spans="1:5" ht="18" customHeight="1">
      <c r="A66" s="50" t="s">
        <v>201</v>
      </c>
      <c r="B66" s="32">
        <v>3360000000</v>
      </c>
      <c r="C66" s="51">
        <v>0.2</v>
      </c>
      <c r="D66" s="44">
        <f>$B$20*C66</f>
        <v>4800000000</v>
      </c>
      <c r="E66" s="45">
        <f>IF(SUM($B$64:$B$66)=0,0,B66/SUM($B$64:$B$66))</f>
        <v>0.14000000000000001</v>
      </c>
    </row>
    <row r="67" spans="1:5" ht="21.75" customHeight="1">
      <c r="A67" s="37" t="s">
        <v>202</v>
      </c>
      <c r="B67" s="38">
        <f>SUM(B64:B66)</f>
        <v>24000000000</v>
      </c>
      <c r="C67" s="38">
        <f>SUM(C64:C66)</f>
        <v>1</v>
      </c>
      <c r="D67" s="38">
        <f>SUM(D64:D66)</f>
        <v>24000000000</v>
      </c>
      <c r="E67" s="52">
        <f>SUM(E64:E66)</f>
        <v>1</v>
      </c>
    </row>
    <row r="68" spans="1:5" ht="7.5" customHeight="1"/>
    <row r="69" spans="1:5" ht="21.75" customHeight="1">
      <c r="A69" s="9" t="s">
        <v>203</v>
      </c>
      <c r="B69" s="9"/>
      <c r="C69" s="9"/>
      <c r="D69" s="9"/>
      <c r="E69" s="9"/>
    </row>
    <row r="70" spans="1:5" ht="21.75" customHeight="1">
      <c r="A70" s="30" t="s">
        <v>204</v>
      </c>
      <c r="B70" s="30" t="s">
        <v>205</v>
      </c>
      <c r="C70" s="30" t="s">
        <v>206</v>
      </c>
      <c r="D70" s="30" t="s">
        <v>207</v>
      </c>
      <c r="E70" s="30" t="s">
        <v>106</v>
      </c>
    </row>
    <row r="71" spans="1:5" ht="18" customHeight="1">
      <c r="A71" s="31" t="s">
        <v>208</v>
      </c>
      <c r="B71" s="32">
        <v>2800</v>
      </c>
      <c r="C71" s="32">
        <v>2600</v>
      </c>
      <c r="D71" s="32">
        <v>2400</v>
      </c>
      <c r="E71" s="33" t="s">
        <v>209</v>
      </c>
    </row>
    <row r="72" spans="1:5" ht="18" customHeight="1">
      <c r="A72" s="31" t="s">
        <v>210</v>
      </c>
      <c r="B72" s="32">
        <v>185</v>
      </c>
      <c r="C72" s="32">
        <v>172</v>
      </c>
      <c r="D72" s="32">
        <v>160</v>
      </c>
      <c r="E72" s="33" t="s">
        <v>211</v>
      </c>
    </row>
    <row r="73" spans="1:5" ht="18" customHeight="1">
      <c r="A73" s="31" t="s">
        <v>212</v>
      </c>
      <c r="B73" s="32">
        <v>9408000000</v>
      </c>
      <c r="C73" s="32">
        <v>8736000000</v>
      </c>
      <c r="D73" s="32">
        <v>8064000000</v>
      </c>
      <c r="E73" s="33" t="s">
        <v>213</v>
      </c>
    </row>
    <row r="74" spans="1:5" ht="18" customHeight="1">
      <c r="A74" s="31" t="s">
        <v>214</v>
      </c>
      <c r="B74" s="32">
        <v>640000000</v>
      </c>
      <c r="C74" s="32">
        <v>552000000</v>
      </c>
      <c r="D74" s="32">
        <v>472000000</v>
      </c>
      <c r="E74" s="33" t="s">
        <v>215</v>
      </c>
    </row>
    <row r="75" spans="1:5" ht="18" customHeight="1">
      <c r="A75" s="31" t="s">
        <v>216</v>
      </c>
      <c r="B75" s="32">
        <v>800000000</v>
      </c>
      <c r="C75" s="32">
        <v>690000000</v>
      </c>
      <c r="D75" s="32">
        <v>590000000</v>
      </c>
      <c r="E75" s="33" t="s">
        <v>217</v>
      </c>
    </row>
    <row r="76" spans="1:5" ht="18" customHeight="1">
      <c r="A76" s="31" t="s">
        <v>218</v>
      </c>
      <c r="B76" s="32">
        <v>800000000</v>
      </c>
      <c r="C76" s="32">
        <v>680000000</v>
      </c>
      <c r="D76" s="32">
        <v>580000000</v>
      </c>
      <c r="E76" s="33" t="s">
        <v>219</v>
      </c>
    </row>
    <row r="77" spans="1:5" ht="21.75" customHeight="1">
      <c r="A77" s="40" t="s">
        <v>220</v>
      </c>
      <c r="B77" s="41">
        <f>B16-B30+B27+B28</f>
        <v>2842000000</v>
      </c>
      <c r="C77" s="41">
        <f>C16-C30+C27+C28</f>
        <v>3744000000</v>
      </c>
      <c r="D77" s="41">
        <f>D16-D30+D27+D28</f>
        <v>4596000000</v>
      </c>
      <c r="E77" s="26" t="s">
        <v>221</v>
      </c>
    </row>
    <row r="78" spans="1:5" ht="18" customHeight="1">
      <c r="A78" s="31" t="s">
        <v>222</v>
      </c>
      <c r="B78" s="32">
        <v>1600000000</v>
      </c>
      <c r="C78" s="32">
        <v>1480000000</v>
      </c>
      <c r="D78" s="32">
        <v>1350000000</v>
      </c>
      <c r="E78" s="33" t="s">
        <v>223</v>
      </c>
    </row>
    <row r="79" spans="1:5" ht="7.5" customHeight="1"/>
    <row r="80" spans="1:5" ht="21.75" customHeight="1">
      <c r="A80" s="10" t="s">
        <v>224</v>
      </c>
      <c r="B80" s="10"/>
      <c r="C80" s="10"/>
      <c r="D80" s="10"/>
      <c r="E80" s="10"/>
    </row>
  </sheetData>
  <mergeCells count="9">
    <mergeCell ref="A52:E52"/>
    <mergeCell ref="A62:E62"/>
    <mergeCell ref="A69:E69"/>
    <mergeCell ref="A80:E80"/>
    <mergeCell ref="A1:E1"/>
    <mergeCell ref="A2:E2"/>
    <mergeCell ref="A4:E4"/>
    <mergeCell ref="A18:E18"/>
    <mergeCell ref="A32:E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2"/>
  <sheetViews>
    <sheetView zoomScaleNormal="100" workbookViewId="0"/>
  </sheetViews>
  <sheetFormatPr defaultColWidth="8.7109375" defaultRowHeight="15"/>
  <cols>
    <col min="1" max="1" width="6" customWidth="1"/>
    <col min="2" max="2" width="34" customWidth="1"/>
    <col min="3" max="3" width="52" customWidth="1"/>
    <col min="4" max="4" width="38" customWidth="1"/>
    <col min="5" max="7" width="14" customWidth="1"/>
    <col min="8" max="9" width="16" customWidth="1"/>
    <col min="10" max="10" width="13" customWidth="1"/>
    <col min="11" max="11" width="22" customWidth="1"/>
    <col min="12" max="12" width="58" customWidth="1"/>
  </cols>
  <sheetData>
    <row r="1" spans="1:12" ht="25.5" customHeight="1">
      <c r="A1" s="9" t="s">
        <v>225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5.75" customHeight="1">
      <c r="A2" s="8" t="s">
        <v>226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21.75" customHeight="1">
      <c r="A3" s="7" t="s">
        <v>227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21.75" customHeight="1">
      <c r="A4" s="30" t="s">
        <v>228</v>
      </c>
      <c r="B4" s="30" t="s">
        <v>229</v>
      </c>
      <c r="C4" s="30" t="s">
        <v>230</v>
      </c>
      <c r="D4" s="30" t="s">
        <v>231</v>
      </c>
      <c r="E4" s="30" t="s">
        <v>205</v>
      </c>
      <c r="F4" s="30" t="s">
        <v>206</v>
      </c>
      <c r="G4" s="30" t="s">
        <v>207</v>
      </c>
      <c r="H4" s="30" t="s">
        <v>232</v>
      </c>
      <c r="I4" s="30" t="s">
        <v>233</v>
      </c>
      <c r="J4" s="30" t="s">
        <v>234</v>
      </c>
      <c r="K4" s="30" t="s">
        <v>235</v>
      </c>
      <c r="L4" s="30" t="s">
        <v>106</v>
      </c>
    </row>
    <row r="5" spans="1:12" ht="19.5" customHeight="1">
      <c r="A5" s="53" t="s">
        <v>236</v>
      </c>
      <c r="B5" s="54" t="s">
        <v>237</v>
      </c>
      <c r="C5" s="55" t="s">
        <v>238</v>
      </c>
      <c r="D5" s="33" t="s">
        <v>239</v>
      </c>
      <c r="E5" s="56">
        <f>'INPUT DATA'!B43/'INPUT DATA'!B30</f>
        <v>0.4374240583232078</v>
      </c>
      <c r="F5" s="57">
        <f>'INPUT DATA'!C43/'INPUT DATA'!C30</f>
        <v>0.42652724270776005</v>
      </c>
      <c r="G5" s="57">
        <f>'INPUT DATA'!D43/'INPUT DATA'!D30</f>
        <v>0.41679823176507735</v>
      </c>
      <c r="H5" s="58">
        <v>0.4</v>
      </c>
      <c r="I5" s="59" t="s">
        <v>240</v>
      </c>
      <c r="J5" s="60">
        <f>IF(E5&gt;=H5,100,IF(E5&lt;=0.17,0,(E5-0.17)/(0.4-0.17)*100))</f>
        <v>100</v>
      </c>
      <c r="K5" s="61" t="str">
        <f>IF(E5&gt;0.4,"SEHAT ✓",IF(E5&gt;=0.17,"PERHATIAN","BERISIKO ✗"))</f>
        <v>SEHAT ✓</v>
      </c>
      <c r="L5" s="62" t="s">
        <v>241</v>
      </c>
    </row>
    <row r="6" spans="1:12" ht="19.5" customHeight="1">
      <c r="A6" s="53" t="s">
        <v>242</v>
      </c>
      <c r="B6" s="54" t="s">
        <v>243</v>
      </c>
      <c r="C6" s="55" t="s">
        <v>244</v>
      </c>
      <c r="D6" s="33" t="s">
        <v>245</v>
      </c>
      <c r="E6" s="56">
        <f>'INPUT DATA'!B43/'INPUT DATA'!B42</f>
        <v>0.81818181818181823</v>
      </c>
      <c r="F6" s="57">
        <f>'INPUT DATA'!C43/'INPUT DATA'!C42</f>
        <v>0.77500000000000002</v>
      </c>
      <c r="G6" s="57">
        <f>'INPUT DATA'!D43/'INPUT DATA'!D42</f>
        <v>0.73333333333333328</v>
      </c>
      <c r="H6" s="58">
        <v>0.35</v>
      </c>
      <c r="I6" s="59" t="s">
        <v>246</v>
      </c>
      <c r="J6" s="60">
        <f>IF(E6&gt;=H6,100,IF(E6&lt;=0.2,0,(E6-0.2)/(0.35-0.2)*100))</f>
        <v>100</v>
      </c>
      <c r="K6" s="61" t="str">
        <f>IF(E6&gt;0.35,"SEHAT ✓",IF(E6&gt;=0.2,"PERHATIAN","BERISIKO ✗"))</f>
        <v>SEHAT ✓</v>
      </c>
      <c r="L6" s="62" t="s">
        <v>247</v>
      </c>
    </row>
    <row r="7" spans="1:12" ht="19.5" customHeight="1">
      <c r="A7" s="53" t="s">
        <v>248</v>
      </c>
      <c r="B7" s="54" t="s">
        <v>249</v>
      </c>
      <c r="C7" s="55" t="s">
        <v>250</v>
      </c>
      <c r="D7" s="33" t="s">
        <v>251</v>
      </c>
      <c r="E7" s="56">
        <f>'INPUT DATA'!B44/'INPUT DATA'!B45</f>
        <v>1.4285714285714285E-2</v>
      </c>
      <c r="F7" s="57">
        <f>'INPUT DATA'!C44/'INPUT DATA'!C45</f>
        <v>1.315068493150685E-2</v>
      </c>
      <c r="G7" s="57">
        <f>'INPUT DATA'!D44/'INPUT DATA'!D45</f>
        <v>1.1949685534591196E-2</v>
      </c>
      <c r="H7" s="58">
        <v>0.02</v>
      </c>
      <c r="I7" s="59" t="s">
        <v>252</v>
      </c>
      <c r="J7" s="60">
        <f>IF(E7&gt;=H7,100,IF(E7&lt;=0,0,(E7-0)/(0.2-0)*100))</f>
        <v>7.1428571428571423</v>
      </c>
      <c r="K7" s="61" t="str">
        <f>IF(E7&gt;H7,"SEHAT ✓",IF(E7&gt;=0,"PERHATIAN","BERISIKO ✗"))</f>
        <v>PERHATIAN</v>
      </c>
      <c r="L7" s="62" t="s">
        <v>253</v>
      </c>
    </row>
    <row r="8" spans="1:12" ht="19.5" customHeight="1">
      <c r="A8" s="53" t="s">
        <v>254</v>
      </c>
      <c r="B8" s="54" t="s">
        <v>255</v>
      </c>
      <c r="C8" s="55" t="s">
        <v>256</v>
      </c>
      <c r="D8" s="33" t="s">
        <v>257</v>
      </c>
      <c r="E8" s="56">
        <f>('INPUT DATA'!B16-'INPUT DATA'!B30)/'INPUT DATA'!B16</f>
        <v>5.8465403942790876E-3</v>
      </c>
      <c r="F8" s="57">
        <f>('INPUT DATA'!C16-'INPUT DATA'!C30)/'INPUT DATA'!C16</f>
        <v>3.6176532993846808E-2</v>
      </c>
      <c r="G8" s="57">
        <f>('INPUT DATA'!D16-'INPUT DATA'!D30)/'INPUT DATA'!D16</f>
        <v>7.169656466174229E-2</v>
      </c>
      <c r="H8" s="58">
        <v>0.02</v>
      </c>
      <c r="I8" s="59" t="s">
        <v>252</v>
      </c>
      <c r="J8" s="60">
        <f>IF(E8&gt;=H8,100,IF(E8&lt;=0,0,(E8-0)/(0.2-0)*100))</f>
        <v>2.9232701971395434</v>
      </c>
      <c r="K8" s="61" t="str">
        <f>IF(E8&gt;H8,"SEHAT ✓",IF(E8&gt;=0,"PERHATIAN","BERISIKO ✗"))</f>
        <v>PERHATIAN</v>
      </c>
      <c r="L8" s="62" t="s">
        <v>258</v>
      </c>
    </row>
    <row r="9" spans="1:12" ht="21.75" customHeight="1">
      <c r="A9" s="6" t="s">
        <v>259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ht="21.75" customHeight="1">
      <c r="A10" s="30" t="s">
        <v>228</v>
      </c>
      <c r="B10" s="30" t="s">
        <v>229</v>
      </c>
      <c r="C10" s="30" t="s">
        <v>230</v>
      </c>
      <c r="D10" s="30" t="s">
        <v>231</v>
      </c>
      <c r="E10" s="30" t="s">
        <v>205</v>
      </c>
      <c r="F10" s="30" t="s">
        <v>206</v>
      </c>
      <c r="G10" s="30" t="s">
        <v>207</v>
      </c>
      <c r="H10" s="30" t="s">
        <v>232</v>
      </c>
      <c r="I10" s="30" t="s">
        <v>233</v>
      </c>
      <c r="J10" s="30" t="s">
        <v>234</v>
      </c>
      <c r="K10" s="30" t="s">
        <v>235</v>
      </c>
      <c r="L10" s="30" t="s">
        <v>106</v>
      </c>
    </row>
    <row r="11" spans="1:12" ht="19.5" customHeight="1">
      <c r="A11" s="53" t="s">
        <v>260</v>
      </c>
      <c r="B11" s="54" t="s">
        <v>261</v>
      </c>
      <c r="C11" s="55" t="s">
        <v>262</v>
      </c>
      <c r="D11" s="33" t="s">
        <v>263</v>
      </c>
      <c r="E11" s="63">
        <f>'INPUT DATA'!B47/'INPUT DATA'!B48</f>
        <v>1.75</v>
      </c>
      <c r="F11" s="64">
        <f>'INPUT DATA'!C47/'INPUT DATA'!C48</f>
        <v>1.7253521126760563</v>
      </c>
      <c r="G11" s="64">
        <f>'INPUT DATA'!D47/'INPUT DATA'!D48</f>
        <v>1.7096774193548387</v>
      </c>
      <c r="H11" s="58">
        <v>1.25</v>
      </c>
      <c r="I11" s="59" t="s">
        <v>236</v>
      </c>
      <c r="J11" s="60">
        <f>IF(E11&gt;=H11,100,IF(E11&lt;=1,0,(E11-1)/(H11-1)*100))</f>
        <v>100</v>
      </c>
      <c r="K11" s="61" t="str">
        <f>IF(E11&gt;=1.25,"SEHAT ✓",IF(E11&gt;=1,"PERHATIAN","BERISIKO ✗"))</f>
        <v>SEHAT ✓</v>
      </c>
      <c r="L11" s="62" t="s">
        <v>264</v>
      </c>
    </row>
    <row r="12" spans="1:12" ht="19.5" customHeight="1">
      <c r="A12" s="53" t="s">
        <v>265</v>
      </c>
      <c r="B12" s="54" t="s">
        <v>266</v>
      </c>
      <c r="C12" s="55" t="s">
        <v>267</v>
      </c>
      <c r="D12" s="33" t="s">
        <v>268</v>
      </c>
      <c r="E12" s="63">
        <f>('INPUT DATA'!B34+'INPUT DATA'!B35)/('INPUT DATA'!B30/365)</f>
        <v>159.65978128797084</v>
      </c>
      <c r="F12" s="64">
        <f>('INPUT DATA'!C34+'INPUT DATA'!C35)/('INPUT DATA'!C30/365)</f>
        <v>156.68684645019263</v>
      </c>
      <c r="G12" s="64">
        <f>('INPUT DATA'!D34+'INPUT DATA'!D35)/('INPUT DATA'!D30/365)</f>
        <v>156.1651405115251</v>
      </c>
      <c r="H12" s="58">
        <v>120</v>
      </c>
      <c r="I12" s="59" t="s">
        <v>269</v>
      </c>
      <c r="J12" s="60">
        <f>IF(E12&gt;=H12,100,IF(E12&lt;=60,0,(E12-60)/(H12-60)*100))</f>
        <v>100</v>
      </c>
      <c r="K12" s="61" t="str">
        <f>IF(E12&gt;=120,"SEHAT ✓",IF(E12&gt;=60,"PERHATIAN","BERISIKO ✗"))</f>
        <v>SEHAT ✓</v>
      </c>
      <c r="L12" s="62" t="s">
        <v>270</v>
      </c>
    </row>
    <row r="13" spans="1:12" ht="19.5" customHeight="1">
      <c r="A13" s="53" t="s">
        <v>271</v>
      </c>
      <c r="B13" s="54" t="s">
        <v>272</v>
      </c>
      <c r="C13" s="55" t="s">
        <v>273</v>
      </c>
      <c r="D13" s="33" t="s">
        <v>274</v>
      </c>
      <c r="E13" s="56">
        <f>'INPUT DATA'!B34/'INPUT DATA'!B42</f>
        <v>0.47727272727272729</v>
      </c>
      <c r="F13" s="57">
        <f>'INPUT DATA'!C34/'INPUT DATA'!C42</f>
        <v>0.45500000000000002</v>
      </c>
      <c r="G13" s="57">
        <f>'INPUT DATA'!D34/'INPUT DATA'!D42</f>
        <v>0.43888888888888888</v>
      </c>
      <c r="H13" s="58">
        <v>0.25</v>
      </c>
      <c r="I13" s="59" t="s">
        <v>275</v>
      </c>
      <c r="J13" s="60">
        <f>IF(E13&gt;=H13,100,IF(E13&lt;=0.15,0,(E13-0.15)/(H13-0.15)*100))</f>
        <v>100</v>
      </c>
      <c r="K13" s="61" t="str">
        <f>IF(E13&gt;=0.25,"SEHAT ✓",IF(E13&gt;=0.15,"PERHATIAN","BERISIKO ✗"))</f>
        <v>SEHAT ✓</v>
      </c>
      <c r="L13" s="62" t="s">
        <v>276</v>
      </c>
    </row>
    <row r="14" spans="1:12" ht="19.5" customHeight="1">
      <c r="A14" s="53" t="s">
        <v>74</v>
      </c>
      <c r="B14" s="65" t="s">
        <v>277</v>
      </c>
      <c r="C14" s="66" t="s">
        <v>278</v>
      </c>
      <c r="D14" s="33" t="s">
        <v>279</v>
      </c>
      <c r="E14" s="63">
        <f>'INPUT DATA'!B49/'INPUT DATA'!B41</f>
        <v>1.7428571428571429</v>
      </c>
      <c r="F14" s="64">
        <f>'INPUT DATA'!C49/'INPUT DATA'!C41</f>
        <v>1.7</v>
      </c>
      <c r="G14" s="64">
        <f>'INPUT DATA'!D49/'INPUT DATA'!D41</f>
        <v>1.6881818181818182</v>
      </c>
      <c r="H14" s="67" t="s">
        <v>280</v>
      </c>
      <c r="I14" s="59" t="s">
        <v>280</v>
      </c>
      <c r="J14" s="60">
        <f>IF(E14&gt;=1,100,IF(E14&lt;=0,0,(E14/1)*100))</f>
        <v>100</v>
      </c>
      <c r="K14" s="61" t="str">
        <f>IF(E14&gt;=1,"YA TERPENUHI ✓","BELUM TERPENUHI ✗")</f>
        <v>YA TERPENUHI ✓</v>
      </c>
      <c r="L14" s="62" t="s">
        <v>281</v>
      </c>
    </row>
    <row r="15" spans="1:12" ht="21.75" customHeight="1">
      <c r="A15" s="5" t="s">
        <v>282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21.75" customHeight="1">
      <c r="A16" s="30" t="s">
        <v>228</v>
      </c>
      <c r="B16" s="30" t="s">
        <v>229</v>
      </c>
      <c r="C16" s="30" t="s">
        <v>230</v>
      </c>
      <c r="D16" s="30" t="s">
        <v>231</v>
      </c>
      <c r="E16" s="30" t="s">
        <v>205</v>
      </c>
      <c r="F16" s="30" t="s">
        <v>206</v>
      </c>
      <c r="G16" s="30" t="s">
        <v>207</v>
      </c>
      <c r="H16" s="30" t="s">
        <v>232</v>
      </c>
      <c r="I16" s="30" t="s">
        <v>233</v>
      </c>
      <c r="J16" s="30" t="s">
        <v>234</v>
      </c>
      <c r="K16" s="30" t="s">
        <v>235</v>
      </c>
      <c r="L16" s="30" t="s">
        <v>106</v>
      </c>
    </row>
    <row r="17" spans="1:12" ht="19.5" customHeight="1">
      <c r="A17" s="53" t="s">
        <v>283</v>
      </c>
      <c r="B17" s="54" t="s">
        <v>28</v>
      </c>
      <c r="C17" s="55" t="s">
        <v>256</v>
      </c>
      <c r="D17" s="33" t="s">
        <v>257</v>
      </c>
      <c r="E17" s="56">
        <f>('INPUT DATA'!B16-'INPUT DATA'!B30)/'INPUT DATA'!B16</f>
        <v>5.8465403942790876E-3</v>
      </c>
      <c r="F17" s="57">
        <f>('INPUT DATA'!C16-'INPUT DATA'!C30)/'INPUT DATA'!C16</f>
        <v>3.6176532993846808E-2</v>
      </c>
      <c r="G17" s="57">
        <f>('INPUT DATA'!D16-'INPUT DATA'!D30)/'INPUT DATA'!D16</f>
        <v>7.169656466174229E-2</v>
      </c>
      <c r="H17" s="58">
        <v>0.04</v>
      </c>
      <c r="I17" s="59" t="s">
        <v>284</v>
      </c>
      <c r="J17" s="60">
        <f>IF(E17&gt;=H17,100,IF(E17&lt;=0,0,(E17/H17)*100))</f>
        <v>14.616350985697718</v>
      </c>
      <c r="K17" s="61" t="str">
        <f>IF(E17&gt;=H17,"SEHAT ✓",IF(E17&gt;=0,"PERHATIAN","BERISIKO ✗"))</f>
        <v>PERHATIAN</v>
      </c>
      <c r="L17" s="62" t="s">
        <v>285</v>
      </c>
    </row>
    <row r="18" spans="1:12" ht="19.5" customHeight="1">
      <c r="A18" s="53" t="s">
        <v>286</v>
      </c>
      <c r="B18" s="54" t="s">
        <v>287</v>
      </c>
      <c r="C18" s="55" t="s">
        <v>288</v>
      </c>
      <c r="D18" s="33" t="s">
        <v>289</v>
      </c>
      <c r="E18" s="56">
        <f>'INPUT DATA'!B21/'INPUT DATA'!B30</f>
        <v>9.2345078979343867E-2</v>
      </c>
      <c r="F18" s="57">
        <f>'INPUT DATA'!C21/'INPUT DATA'!C30</f>
        <v>9.3560814529444133E-2</v>
      </c>
      <c r="G18" s="57">
        <f>'INPUT DATA'!D21/'INPUT DATA'!D30</f>
        <v>9.3463845910956744E-2</v>
      </c>
      <c r="H18" s="58">
        <v>0.15</v>
      </c>
      <c r="I18" s="59" t="s">
        <v>290</v>
      </c>
      <c r="J18" s="60">
        <f>IF(E18&lt;=H18,100,0)</f>
        <v>100</v>
      </c>
      <c r="K18" s="61" t="str">
        <f>IF(E18&lt;=H18,"SEHAT ✓",IF(E18&gt;H18,"PERHATIAN","BERISIKO ✗"))</f>
        <v>SEHAT ✓</v>
      </c>
      <c r="L18" s="62" t="s">
        <v>291</v>
      </c>
    </row>
    <row r="19" spans="1:12" ht="19.5" customHeight="1">
      <c r="A19" s="53" t="s">
        <v>292</v>
      </c>
      <c r="B19" s="54" t="s">
        <v>293</v>
      </c>
      <c r="C19" s="55" t="s">
        <v>294</v>
      </c>
      <c r="D19" s="33" t="s">
        <v>295</v>
      </c>
      <c r="E19" s="56">
        <f>'INPUT DATA'!B14/'INPUT DATA'!B16</f>
        <v>0.58446076536528802</v>
      </c>
      <c r="F19" s="57">
        <f>'INPUT DATA'!C14/'INPUT DATA'!C16</f>
        <v>0.59579885423297263</v>
      </c>
      <c r="G19" s="57">
        <f>'INPUT DATA'!D14/'INPUT DATA'!D16</f>
        <v>0.60780865283151597</v>
      </c>
      <c r="H19" s="58">
        <v>0.5</v>
      </c>
      <c r="I19" s="59" t="s">
        <v>296</v>
      </c>
      <c r="J19" s="60">
        <f>IF(E19&lt;=H19,100,IF(E19&gt;=0.7,0,(E19-0.7)/(H19-0.7)*100))</f>
        <v>57.76961731735598</v>
      </c>
      <c r="K19" s="61" t="str">
        <f>IF(E19&lt;0.5,"RISIKO RENDAH ✓",IF(E19&lt;0.7,"RISIKO SEDANG","RISIKO TINGGI ✗"))</f>
        <v>RISIKO SEDANG</v>
      </c>
      <c r="L19" s="62" t="s">
        <v>297</v>
      </c>
    </row>
    <row r="20" spans="1:12" ht="19.5" customHeight="1">
      <c r="A20" s="53" t="s">
        <v>298</v>
      </c>
      <c r="B20" s="54" t="s">
        <v>299</v>
      </c>
      <c r="C20" s="55" t="s">
        <v>300</v>
      </c>
      <c r="D20" s="33" t="s">
        <v>301</v>
      </c>
      <c r="E20" s="68">
        <f>'INPUT DATA'!B30/'INPUT DATA'!B71</f>
        <v>14696428.571428571</v>
      </c>
      <c r="F20" s="69">
        <f>'INPUT DATA'!C30/'INPUT DATA'!C71</f>
        <v>13976923.076923076</v>
      </c>
      <c r="G20" s="69">
        <f>'INPUT DATA'!D30/'INPUT DATA'!D71</f>
        <v>13195833.333333334</v>
      </c>
      <c r="H20" s="58" t="s">
        <v>302</v>
      </c>
      <c r="I20" s="59" t="s">
        <v>303</v>
      </c>
      <c r="J20" s="60"/>
      <c r="K20" s="61" t="s">
        <v>304</v>
      </c>
      <c r="L20" s="62" t="s">
        <v>305</v>
      </c>
    </row>
    <row r="21" spans="1:12" ht="19.5" customHeight="1">
      <c r="A21" s="53" t="s">
        <v>53</v>
      </c>
      <c r="B21" s="65" t="s">
        <v>306</v>
      </c>
      <c r="C21" s="66" t="s">
        <v>307</v>
      </c>
      <c r="D21" s="33" t="s">
        <v>308</v>
      </c>
      <c r="E21" s="56">
        <f>'INPUT DATA'!B20/'INPUT DATA'!B30</f>
        <v>0.58323207776427699</v>
      </c>
      <c r="F21" s="57">
        <f>'INPUT DATA'!C20/'INPUT DATA'!C30</f>
        <v>0.57787561915244912</v>
      </c>
      <c r="G21" s="57">
        <f>'INPUT DATA'!D20/'INPUT DATA'!D30</f>
        <v>0.57467634985790972</v>
      </c>
      <c r="H21" s="67" t="s">
        <v>309</v>
      </c>
      <c r="I21" s="59" t="s">
        <v>309</v>
      </c>
      <c r="J21" s="60">
        <f>IF(E21&gt;=0.65,100,IF(E21&lt;=0.5,0,(E21-0.5)/(0.65-0.5)*100))</f>
        <v>55.488051842851313</v>
      </c>
      <c r="K21" s="61" t="str">
        <f>IF(E21&gt;=0.65,"YA TERPENUHI ✓","BELUM TERPENUHI ✗")</f>
        <v>BELUM TERPENUHI ✗</v>
      </c>
      <c r="L21" s="62" t="s">
        <v>310</v>
      </c>
    </row>
    <row r="22" spans="1:12" ht="19.5" customHeight="1">
      <c r="A22" s="53" t="s">
        <v>68</v>
      </c>
      <c r="B22" s="65" t="s">
        <v>311</v>
      </c>
      <c r="C22" s="66" t="s">
        <v>312</v>
      </c>
      <c r="D22" s="33" t="s">
        <v>301</v>
      </c>
      <c r="E22" s="68">
        <f>'INPUT DATA'!B30/'INPUT DATA'!B71</f>
        <v>14696428.571428571</v>
      </c>
      <c r="F22" s="69">
        <f>'INPUT DATA'!C30/'INPUT DATA'!C71</f>
        <v>13976923.076923076</v>
      </c>
      <c r="G22" s="69">
        <f>'INPUT DATA'!D30/'INPUT DATA'!D71</f>
        <v>13195833.333333334</v>
      </c>
      <c r="H22" s="67" t="s">
        <v>313</v>
      </c>
      <c r="I22" s="59" t="s">
        <v>313</v>
      </c>
      <c r="J22" s="60"/>
      <c r="K22" s="61" t="s">
        <v>314</v>
      </c>
      <c r="L22" s="62" t="s">
        <v>315</v>
      </c>
    </row>
    <row r="23" spans="1:12" ht="21.75" customHeight="1">
      <c r="A23" s="4" t="s">
        <v>316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21.75" customHeight="1">
      <c r="A24" s="30" t="s">
        <v>228</v>
      </c>
      <c r="B24" s="30" t="s">
        <v>229</v>
      </c>
      <c r="C24" s="30" t="s">
        <v>230</v>
      </c>
      <c r="D24" s="30" t="s">
        <v>231</v>
      </c>
      <c r="E24" s="30" t="s">
        <v>205</v>
      </c>
      <c r="F24" s="30" t="s">
        <v>206</v>
      </c>
      <c r="G24" s="30" t="s">
        <v>207</v>
      </c>
      <c r="H24" s="30" t="s">
        <v>232</v>
      </c>
      <c r="I24" s="30" t="s">
        <v>233</v>
      </c>
      <c r="J24" s="30" t="s">
        <v>234</v>
      </c>
      <c r="K24" s="30" t="s">
        <v>235</v>
      </c>
      <c r="L24" s="30" t="s">
        <v>106</v>
      </c>
    </row>
    <row r="25" spans="1:12" ht="19.5" customHeight="1">
      <c r="A25" s="53" t="s">
        <v>317</v>
      </c>
      <c r="B25" s="54" t="s">
        <v>318</v>
      </c>
      <c r="C25" s="55" t="s">
        <v>319</v>
      </c>
      <c r="D25" s="33" t="s">
        <v>320</v>
      </c>
      <c r="E25" s="63">
        <f>('INPUT DATA'!B16-'INPUT DATA'!B30+'INPUT DATA'!B27+'INPUT DATA'!B28)/'INPUT DATA'!B46</f>
        <v>1.2918181818181818</v>
      </c>
      <c r="F25" s="64">
        <f>('INPUT DATA'!C16-'INPUT DATA'!C30+'INPUT DATA'!C27+'INPUT DATA'!C28)/'INPUT DATA'!C46</f>
        <v>1.8720000000000001</v>
      </c>
      <c r="G25" s="64">
        <f>('INPUT DATA'!D16-'INPUT DATA'!D30+'INPUT DATA'!D27+'INPUT DATA'!D28)/'INPUT DATA'!D46</f>
        <v>2.5252747252747252</v>
      </c>
      <c r="H25" s="58">
        <v>2</v>
      </c>
      <c r="I25" s="59" t="s">
        <v>321</v>
      </c>
      <c r="J25" s="60">
        <f>IF(E25&gt;=H25,100,IF(E25&lt;=1.25,0,(E25-1.25)/(H25-1.25)*100))</f>
        <v>5.5757575757575673</v>
      </c>
      <c r="K25" s="61" t="str">
        <f>IF(E25&gt;=2,"SEHAT ✓",IF(E25&gt;=1.25,"PERHATIAN","BERISIKO ✗"))</f>
        <v>PERHATIAN</v>
      </c>
      <c r="L25" s="62" t="s">
        <v>322</v>
      </c>
    </row>
    <row r="26" spans="1:12" ht="19.5" customHeight="1">
      <c r="A26" s="53" t="s">
        <v>323</v>
      </c>
      <c r="B26" s="54" t="s">
        <v>324</v>
      </c>
      <c r="C26" s="55" t="s">
        <v>325</v>
      </c>
      <c r="D26" s="33" t="s">
        <v>326</v>
      </c>
      <c r="E26" s="56">
        <f>'INPUT DATA'!B42/'INPUT DATA'!B40</f>
        <v>0.24336283185840707</v>
      </c>
      <c r="F26" s="57">
        <f>'INPUT DATA'!C42/'INPUT DATA'!C40</f>
        <v>0.24798512089274644</v>
      </c>
      <c r="G26" s="57">
        <f>'INPUT DATA'!D42/'INPUT DATA'!D40</f>
        <v>0.25010421008753647</v>
      </c>
      <c r="H26" s="58">
        <v>0.25</v>
      </c>
      <c r="I26" s="59" t="s">
        <v>327</v>
      </c>
      <c r="J26" s="60">
        <f>IF(E26&lt;=H26,100,IF(E26&gt;=0.35,0,(E26-0.35)/(H26-0.35)*100))</f>
        <v>100</v>
      </c>
      <c r="K26" s="61" t="str">
        <f>IF(E26&lt;0.25,"SEHAT ✓",IF(E26&lt;0.35,"PERHATIAN","BERISIKO ✗"))</f>
        <v>SEHAT ✓</v>
      </c>
      <c r="L26" s="62" t="s">
        <v>328</v>
      </c>
    </row>
    <row r="27" spans="1:12" ht="19.5" customHeight="1">
      <c r="A27" s="53" t="s">
        <v>329</v>
      </c>
      <c r="B27" s="54" t="s">
        <v>330</v>
      </c>
      <c r="C27" s="55" t="s">
        <v>331</v>
      </c>
      <c r="D27" s="33" t="s">
        <v>332</v>
      </c>
      <c r="E27" s="63">
        <f>'INPUT DATA'!B77/'INPUT DATA'!B78</f>
        <v>1.7762500000000001</v>
      </c>
      <c r="F27" s="64">
        <f>'INPUT DATA'!C77/'INPUT DATA'!C78</f>
        <v>2.5297297297297296</v>
      </c>
      <c r="G27" s="64">
        <f>'INPUT DATA'!D77/'INPUT DATA'!D78</f>
        <v>3.4044444444444446</v>
      </c>
      <c r="H27" s="58">
        <v>3</v>
      </c>
      <c r="I27" s="59" t="s">
        <v>242</v>
      </c>
      <c r="J27" s="60">
        <f>IF(E27&gt;=H27,100,IF(E27&lt;=2,0,(E27-2)/(H27-2)*100))</f>
        <v>0</v>
      </c>
      <c r="K27" s="61" t="str">
        <f>IF(E27&gt;=3,"SEHAT ✓",IF(E27&gt;=2,"PERHATIAN","BERISIKO ✗"))</f>
        <v>BERISIKO ✗</v>
      </c>
      <c r="L27" s="62" t="s">
        <v>333</v>
      </c>
    </row>
    <row r="28" spans="1:12" ht="19.5" customHeight="1">
      <c r="A28" s="53" t="s">
        <v>334</v>
      </c>
      <c r="B28" s="54" t="s">
        <v>335</v>
      </c>
      <c r="C28" s="55" t="s">
        <v>336</v>
      </c>
      <c r="D28" s="33" t="s">
        <v>337</v>
      </c>
      <c r="E28" s="68">
        <f>'INPUT DATA'!B42/'INPUT DATA'!B71</f>
        <v>7857142.8571428573</v>
      </c>
      <c r="F28" s="69">
        <f>'INPUT DATA'!C42/'INPUT DATA'!C71</f>
        <v>7692307.692307692</v>
      </c>
      <c r="G28" s="69">
        <f>'INPUT DATA'!D42/'INPUT DATA'!D71</f>
        <v>7500000</v>
      </c>
      <c r="H28" s="58" t="s">
        <v>302</v>
      </c>
      <c r="I28" s="59" t="s">
        <v>302</v>
      </c>
      <c r="J28" s="60"/>
      <c r="K28" s="61" t="s">
        <v>338</v>
      </c>
      <c r="L28" s="62" t="s">
        <v>339</v>
      </c>
    </row>
    <row r="29" spans="1:12" ht="21.75" customHeight="1">
      <c r="A29" s="3" t="s">
        <v>340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21.75" customHeight="1">
      <c r="A30" s="30" t="s">
        <v>228</v>
      </c>
      <c r="B30" s="30" t="s">
        <v>229</v>
      </c>
      <c r="C30" s="30" t="s">
        <v>230</v>
      </c>
      <c r="D30" s="30" t="s">
        <v>231</v>
      </c>
      <c r="E30" s="30" t="s">
        <v>205</v>
      </c>
      <c r="F30" s="30" t="s">
        <v>206</v>
      </c>
      <c r="G30" s="30" t="s">
        <v>207</v>
      </c>
      <c r="H30" s="30" t="s">
        <v>232</v>
      </c>
      <c r="I30" s="30" t="s">
        <v>233</v>
      </c>
      <c r="J30" s="30" t="s">
        <v>234</v>
      </c>
      <c r="K30" s="30" t="s">
        <v>235</v>
      </c>
      <c r="L30" s="30" t="s">
        <v>106</v>
      </c>
    </row>
    <row r="31" spans="1:12" ht="19.5" customHeight="1">
      <c r="A31" s="53" t="s">
        <v>341</v>
      </c>
      <c r="B31" s="54" t="s">
        <v>342</v>
      </c>
      <c r="C31" s="55" t="s">
        <v>343</v>
      </c>
      <c r="D31" s="33" t="s">
        <v>344</v>
      </c>
      <c r="E31" s="68">
        <f>'INPUT DATA'!B39/'INPUT DATA'!B71</f>
        <v>2857142.8571428573</v>
      </c>
      <c r="F31" s="69">
        <f>'INPUT DATA'!C39/'INPUT DATA'!C71</f>
        <v>2653846.153846154</v>
      </c>
      <c r="G31" s="69">
        <f>'INPUT DATA'!D39/'INPUT DATA'!D71</f>
        <v>2458333.3333333335</v>
      </c>
      <c r="H31" s="58" t="s">
        <v>345</v>
      </c>
      <c r="I31" s="59" t="s">
        <v>345</v>
      </c>
      <c r="J31" s="60"/>
      <c r="K31" s="61" t="s">
        <v>346</v>
      </c>
      <c r="L31" s="62" t="s">
        <v>347</v>
      </c>
    </row>
    <row r="32" spans="1:12" ht="19.5" customHeight="1">
      <c r="A32" s="53" t="s">
        <v>348</v>
      </c>
      <c r="B32" s="54" t="s">
        <v>349</v>
      </c>
      <c r="C32" s="55" t="s">
        <v>350</v>
      </c>
      <c r="D32" s="33" t="s">
        <v>351</v>
      </c>
      <c r="E32" s="56">
        <f>'INPUT DATA'!B74/'INPUT DATA'!B50</f>
        <v>9.2307692307692313E-2</v>
      </c>
      <c r="F32" s="57" t="s">
        <v>352</v>
      </c>
      <c r="G32" s="57" t="s">
        <v>352</v>
      </c>
      <c r="H32" s="58" t="s">
        <v>353</v>
      </c>
      <c r="I32" s="59" t="s">
        <v>354</v>
      </c>
      <c r="J32" s="60"/>
      <c r="K32" s="61" t="str">
        <f>IF(AND(E32&gt;=0.04,E32&lt;=0.08),"SEHAT ✓",IF(AND(E32&gt;=0.03,E32&lt;=0.09),"PERHATIAN","BERISIKO ✗"))</f>
        <v>BERISIKO ✗</v>
      </c>
      <c r="L32" s="62" t="s">
        <v>355</v>
      </c>
    </row>
    <row r="33" spans="1:12" ht="19.5" customHeight="1">
      <c r="A33" s="53" t="s">
        <v>356</v>
      </c>
      <c r="B33" s="54" t="s">
        <v>357</v>
      </c>
      <c r="C33" s="55" t="s">
        <v>358</v>
      </c>
      <c r="D33" s="33" t="s">
        <v>359</v>
      </c>
      <c r="E33" s="56">
        <f>'INPUT DATA'!B75/'INPUT DATA'!B50</f>
        <v>0.11538461538461539</v>
      </c>
      <c r="F33" s="57" t="s">
        <v>352</v>
      </c>
      <c r="G33" s="57" t="s">
        <v>352</v>
      </c>
      <c r="H33" s="58" t="s">
        <v>360</v>
      </c>
      <c r="I33" s="59" t="s">
        <v>361</v>
      </c>
      <c r="J33" s="60"/>
      <c r="K33" s="61" t="str">
        <f>IF(E33&gt;0.08,"SEHAT ✓",IF(E33&gt;0.05,"PERHATIAN","BERISIKO ✗"))</f>
        <v>SEHAT ✓</v>
      </c>
      <c r="L33" s="62" t="s">
        <v>362</v>
      </c>
    </row>
    <row r="34" spans="1:12" ht="19.5" customHeight="1">
      <c r="A34" s="53" t="s">
        <v>363</v>
      </c>
      <c r="B34" s="54" t="s">
        <v>364</v>
      </c>
      <c r="C34" s="55" t="s">
        <v>365</v>
      </c>
      <c r="D34" s="33" t="s">
        <v>366</v>
      </c>
      <c r="E34" s="63">
        <f>'INPUT DATA'!B39/'INPUT DATA'!B42</f>
        <v>0.36363636363636365</v>
      </c>
      <c r="F34" s="64">
        <f>'INPUT DATA'!C39/'INPUT DATA'!C42</f>
        <v>0.34499999999999997</v>
      </c>
      <c r="G34" s="64">
        <f>'INPUT DATA'!D39/'INPUT DATA'!D42</f>
        <v>0.32777777777777778</v>
      </c>
      <c r="H34" s="58" t="s">
        <v>367</v>
      </c>
      <c r="I34" s="59" t="s">
        <v>368</v>
      </c>
      <c r="J34" s="60"/>
      <c r="K34" s="61" t="str">
        <f>IF(E34&gt;2,"SEHAT ✓",IF(E34&gt;=1,"PERHATIAN","BERISIKO ✗"))</f>
        <v>BERISIKO ✗</v>
      </c>
      <c r="L34" s="62" t="s">
        <v>369</v>
      </c>
    </row>
    <row r="35" spans="1:12" ht="21.75" customHeight="1">
      <c r="A35" s="2" t="s">
        <v>370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21.75" customHeight="1">
      <c r="A36" s="30" t="s">
        <v>228</v>
      </c>
      <c r="B36" s="30" t="s">
        <v>229</v>
      </c>
      <c r="C36" s="30" t="s">
        <v>230</v>
      </c>
      <c r="D36" s="30" t="s">
        <v>231</v>
      </c>
      <c r="E36" s="30" t="s">
        <v>205</v>
      </c>
      <c r="F36" s="30" t="s">
        <v>206</v>
      </c>
      <c r="G36" s="30" t="s">
        <v>207</v>
      </c>
      <c r="H36" s="30" t="s">
        <v>232</v>
      </c>
      <c r="I36" s="30" t="s">
        <v>233</v>
      </c>
      <c r="J36" s="30" t="s">
        <v>234</v>
      </c>
      <c r="K36" s="30" t="s">
        <v>235</v>
      </c>
      <c r="L36" s="30" t="s">
        <v>106</v>
      </c>
    </row>
    <row r="37" spans="1:12" ht="19.5" customHeight="1">
      <c r="A37" s="53" t="s">
        <v>50</v>
      </c>
      <c r="B37" s="65" t="s">
        <v>371</v>
      </c>
      <c r="C37" s="66" t="s">
        <v>372</v>
      </c>
      <c r="D37" s="33" t="s">
        <v>373</v>
      </c>
      <c r="E37" s="56">
        <f>'INPUT DATA'!B15/'INPUT DATA'!B16</f>
        <v>0.86712408194820256</v>
      </c>
      <c r="F37" s="57">
        <f>'INPUT DATA'!C15/'INPUT DATA'!C16</f>
        <v>0.86473583704646717</v>
      </c>
      <c r="G37" s="57">
        <f>'INPUT DATA'!D15/'INPUT DATA'!D16</f>
        <v>0.86223472857310357</v>
      </c>
      <c r="H37" s="67" t="s">
        <v>374</v>
      </c>
      <c r="I37" s="59" t="s">
        <v>374</v>
      </c>
      <c r="J37" s="60"/>
      <c r="K37" s="61" t="str">
        <f>IF(E37&gt;=0.3,"YA TERPENUHI ✓","BELUM TERPENUHI ✗")</f>
        <v>YA TERPENUHI ✓</v>
      </c>
      <c r="L37" s="62" t="s">
        <v>375</v>
      </c>
    </row>
    <row r="38" spans="1:12" ht="19.5" customHeight="1">
      <c r="A38" s="53" t="s">
        <v>65</v>
      </c>
      <c r="B38" s="65" t="s">
        <v>376</v>
      </c>
      <c r="C38" s="66" t="s">
        <v>377</v>
      </c>
      <c r="D38" s="33" t="s">
        <v>378</v>
      </c>
      <c r="E38" s="56">
        <f>('INPUT DATA'!B16-'INPUT DATA'!C16)/'INPUT DATA'!C16</f>
        <v>9.7814555484829202E-2</v>
      </c>
      <c r="F38" s="57">
        <f>('INPUT DATA'!C16-'INPUT DATA'!D16)/'INPUT DATA'!D16</f>
        <v>0.10517059444249033</v>
      </c>
      <c r="G38" s="57" t="s">
        <v>352</v>
      </c>
      <c r="H38" s="67" t="s">
        <v>379</v>
      </c>
      <c r="I38" s="59" t="s">
        <v>379</v>
      </c>
      <c r="J38" s="60"/>
      <c r="K38" s="61" t="str">
        <f>IF(E38&gt;=0.05,"YA TERPENUHI ✓","BELUM TERPENUHI ✗")</f>
        <v>YA TERPENUHI ✓</v>
      </c>
      <c r="L38" s="62" t="s">
        <v>380</v>
      </c>
    </row>
    <row r="39" spans="1:12" ht="19.5" customHeight="1">
      <c r="A39" s="53" t="s">
        <v>381</v>
      </c>
      <c r="B39" s="54" t="s">
        <v>382</v>
      </c>
      <c r="C39" s="55" t="s">
        <v>383</v>
      </c>
      <c r="D39" s="33" t="s">
        <v>384</v>
      </c>
      <c r="E39" s="56">
        <f>MAX('INPUT DATA'!B6,ABS('INPUT DATA'!B7),'INPUT DATA'!B8,'INPUT DATA'!B9,'INPUT DATA'!B10,'INPUT DATA'!B11,'INPUT DATA'!B12,'INPUT DATA'!B13)/'INPUT DATA'!B16</f>
        <v>0.81175106300734445</v>
      </c>
      <c r="F39" s="57">
        <f>MAX('INPUT DATA'!C6,ABS('INPUT DATA'!C7),'INPUT DATA'!C8,'INPUT DATA'!C9,'INPUT DATA'!C10,'INPUT DATA'!C11,'INPUT DATA'!C12,'INPUT DATA'!C13)/'INPUT DATA'!C16</f>
        <v>0.82749840865690638</v>
      </c>
      <c r="G39" s="57">
        <f>MAX('INPUT DATA'!D6,ABS('INPUT DATA'!D7),'INPUT DATA'!D8,'INPUT DATA'!D9,'INPUT DATA'!D10,'INPUT DATA'!D11,'INPUT DATA'!D12,'INPUT DATA'!D13)/'INPUT DATA'!D16</f>
        <v>0.84417868448821665</v>
      </c>
      <c r="H39" s="58">
        <v>0.6</v>
      </c>
      <c r="I39" s="59" t="s">
        <v>296</v>
      </c>
      <c r="J39" s="60">
        <f>IF(E39&lt;=H39,100,IF(E39&gt;=0.7,0,(E39-0.7)/(H39-0.7)*100))</f>
        <v>0</v>
      </c>
      <c r="K39" s="61" t="str">
        <f>IF(E39&lt;0.6,"SEHAT ✓",IF(E39&lt;0.7,"PERHATIAN","BERISIKO ✗"))</f>
        <v>BERISIKO ✗</v>
      </c>
      <c r="L39" s="62" t="s">
        <v>385</v>
      </c>
    </row>
    <row r="40" spans="1:12" ht="19.5" customHeight="1">
      <c r="A40" s="53" t="s">
        <v>386</v>
      </c>
      <c r="B40" s="54" t="s">
        <v>387</v>
      </c>
      <c r="C40" s="55" t="s">
        <v>388</v>
      </c>
      <c r="D40" s="33" t="s">
        <v>389</v>
      </c>
      <c r="E40" s="56">
        <f>'INPUT DATA'!B10/'INPUT DATA'!B16</f>
        <v>4.8318515655199075E-2</v>
      </c>
      <c r="F40" s="57">
        <f>'INPUT DATA'!C10/'INPUT DATA'!C16</f>
        <v>4.508805431784426E-2</v>
      </c>
      <c r="G40" s="57">
        <f>'INPUT DATA'!D10/'INPUT DATA'!D16</f>
        <v>4.2502051823191465E-2</v>
      </c>
      <c r="H40" s="58">
        <v>0.1</v>
      </c>
      <c r="I40" s="59" t="s">
        <v>390</v>
      </c>
      <c r="J40" s="60">
        <f>IF(E40&gt;=H40,100,IF(E40&lt;=0.01,0,(E40-0.01)/(H40-0.01)*100))</f>
        <v>42.576128505776744</v>
      </c>
      <c r="K40" s="61" t="str">
        <f>IF(E40&gt;0.1,"SEHAT ✓",IF(E40&gt;0.05,"PERHATIAN","BERISIKO ✗"))</f>
        <v>BERISIKO ✗</v>
      </c>
      <c r="L40" s="62" t="s">
        <v>391</v>
      </c>
    </row>
    <row r="41" spans="1:12" ht="19.5" customHeight="1">
      <c r="A41" s="53" t="s">
        <v>392</v>
      </c>
      <c r="B41" s="54" t="s">
        <v>393</v>
      </c>
      <c r="C41" s="55" t="s">
        <v>394</v>
      </c>
      <c r="D41" s="33" t="s">
        <v>395</v>
      </c>
      <c r="E41" s="56">
        <f>'INPUT DATA'!B9/'INPUT DATA'!B16</f>
        <v>0.10146888287591806</v>
      </c>
      <c r="F41" s="57">
        <f>'INPUT DATA'!C9/'INPUT DATA'!C16</f>
        <v>9.5480585614258429E-2</v>
      </c>
      <c r="G41" s="57">
        <f>'INPUT DATA'!D9/'INPUT DATA'!D16</f>
        <v>9.0866455621995551E-2</v>
      </c>
      <c r="H41" s="58">
        <v>0.1</v>
      </c>
      <c r="I41" s="59" t="s">
        <v>396</v>
      </c>
      <c r="J41" s="60">
        <f>IF(E41&gt;=H41,100,IF(E41&lt;=0.05,0,(E41-0.05)/(H41-0.05)*100))</f>
        <v>100</v>
      </c>
      <c r="K41" s="61" t="str">
        <f>IF(E41&gt;H41,"SEHAT ✓",IF(E41&gt;0.05,"PERHATIAN","BERISIKO ✗"))</f>
        <v>SEHAT ✓</v>
      </c>
      <c r="L41" s="62" t="s">
        <v>397</v>
      </c>
    </row>
    <row r="42" spans="1:12" ht="19.5" customHeight="1">
      <c r="A42" s="53" t="s">
        <v>398</v>
      </c>
      <c r="B42" s="54" t="s">
        <v>399</v>
      </c>
      <c r="C42" s="55" t="s">
        <v>400</v>
      </c>
      <c r="D42" s="33" t="s">
        <v>401</v>
      </c>
      <c r="E42" s="56">
        <f>'INPUT DATA'!B11/'INPUT DATA'!B16</f>
        <v>9.1805179744878243E-2</v>
      </c>
      <c r="F42" s="57">
        <f>'INPUT DATA'!C11/'INPUT DATA'!C16</f>
        <v>9.0176108635688521E-2</v>
      </c>
      <c r="G42" s="57">
        <f>'INPUT DATA'!D11/'INPUT DATA'!D16</f>
        <v>8.5004103646382931E-2</v>
      </c>
      <c r="H42" s="58" t="s">
        <v>402</v>
      </c>
      <c r="I42" s="59" t="s">
        <v>403</v>
      </c>
      <c r="J42" s="60"/>
      <c r="K42" s="61" t="str">
        <f>IF(AND(E42&gt;=0.15,E42&lt;=0.25),"SEHAT ✓",IF(E42&gt;0.1,"PERHATIAN","PERHATIAN"))</f>
        <v>PERHATIAN</v>
      </c>
      <c r="L42" s="62" t="s">
        <v>404</v>
      </c>
    </row>
    <row r="43" spans="1:12" ht="21.75" customHeight="1">
      <c r="A43" s="5" t="s">
        <v>405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21.75" customHeight="1">
      <c r="A44" s="30" t="s">
        <v>228</v>
      </c>
      <c r="B44" s="30" t="s">
        <v>229</v>
      </c>
      <c r="C44" s="30" t="s">
        <v>230</v>
      </c>
      <c r="D44" s="30" t="s">
        <v>231</v>
      </c>
      <c r="E44" s="30" t="s">
        <v>205</v>
      </c>
      <c r="F44" s="30" t="s">
        <v>206</v>
      </c>
      <c r="G44" s="30" t="s">
        <v>207</v>
      </c>
      <c r="H44" s="30" t="s">
        <v>232</v>
      </c>
      <c r="I44" s="30" t="s">
        <v>233</v>
      </c>
      <c r="J44" s="30" t="s">
        <v>234</v>
      </c>
      <c r="K44" s="30" t="s">
        <v>235</v>
      </c>
      <c r="L44" s="30" t="s">
        <v>106</v>
      </c>
    </row>
    <row r="45" spans="1:12" ht="19.5" customHeight="1">
      <c r="A45" s="53" t="s">
        <v>406</v>
      </c>
      <c r="B45" s="54" t="s">
        <v>407</v>
      </c>
      <c r="C45" s="55" t="s">
        <v>408</v>
      </c>
      <c r="D45" s="33" t="s">
        <v>409</v>
      </c>
      <c r="E45" s="63">
        <f>'INPUT DATA'!B71/'INPUT DATA'!B72</f>
        <v>15.135135135135135</v>
      </c>
      <c r="F45" s="64">
        <f>'INPUT DATA'!C71/'INPUT DATA'!C72</f>
        <v>15.116279069767442</v>
      </c>
      <c r="G45" s="64">
        <f>'INPUT DATA'!D71/'INPUT DATA'!D72</f>
        <v>15</v>
      </c>
      <c r="H45" s="58" t="s">
        <v>410</v>
      </c>
      <c r="I45" s="59" t="s">
        <v>411</v>
      </c>
      <c r="J45" s="60"/>
      <c r="K45" s="61" t="str">
        <f>IF(AND(E45&lt;=20,E45&gt;=12),"SEHAT ✓",IF(E45&lt;=30,"PERHATIAN","BERISIKO ✗"))</f>
        <v>SEHAT ✓</v>
      </c>
      <c r="L45" s="62" t="s">
        <v>412</v>
      </c>
    </row>
    <row r="46" spans="1:12" ht="19.5" customHeight="1">
      <c r="A46" s="53" t="s">
        <v>413</v>
      </c>
      <c r="B46" s="54" t="s">
        <v>414</v>
      </c>
      <c r="C46" s="55" t="s">
        <v>415</v>
      </c>
      <c r="D46" s="33" t="s">
        <v>416</v>
      </c>
      <c r="E46" s="56">
        <f>ABS('INPUT DATA'!B73)/'INPUT DATA'!B6</f>
        <v>0.28000000000000003</v>
      </c>
      <c r="F46" s="57">
        <f>ABS('INPUT DATA'!C73)/'INPUT DATA'!C6</f>
        <v>0.28000000000000003</v>
      </c>
      <c r="G46" s="57">
        <f>ABS('INPUT DATA'!D73)/'INPUT DATA'!D6</f>
        <v>0.28000000000000003</v>
      </c>
      <c r="H46" s="58" t="s">
        <v>417</v>
      </c>
      <c r="I46" s="59" t="s">
        <v>418</v>
      </c>
      <c r="J46" s="60"/>
      <c r="K46" s="61" t="str">
        <f>IF(AND(E46&gt;=0.3,E46&lt;=0.5),"SEHAT ✓",IF(E46&lt;=0.6,"PERHATIAN","BERISIKO ✗"))</f>
        <v>PERHATIAN</v>
      </c>
      <c r="L46" s="62" t="s">
        <v>419</v>
      </c>
    </row>
    <row r="47" spans="1:12" ht="19.5" customHeight="1">
      <c r="A47" s="53" t="s">
        <v>420</v>
      </c>
      <c r="B47" s="54" t="s">
        <v>421</v>
      </c>
      <c r="C47" s="55" t="s">
        <v>422</v>
      </c>
      <c r="D47" s="33" t="s">
        <v>423</v>
      </c>
      <c r="E47" s="68">
        <f>'INPUT DATA'!B14/'INPUT DATA'!B71</f>
        <v>8640000</v>
      </c>
      <c r="F47" s="69">
        <f>'INPUT DATA'!C14/'INPUT DATA'!C71</f>
        <v>8640000</v>
      </c>
      <c r="G47" s="69">
        <f>'INPUT DATA'!D14/'INPUT DATA'!D71</f>
        <v>8640000</v>
      </c>
      <c r="H47" s="58" t="s">
        <v>424</v>
      </c>
      <c r="I47" s="59" t="s">
        <v>425</v>
      </c>
      <c r="J47" s="60"/>
      <c r="K47" s="61" t="str">
        <f>IF(E47&gt;F47,"SEHAT ✓",IF(E47=F47,"STABIL","BERISIKO ✗"))</f>
        <v>STABIL</v>
      </c>
      <c r="L47" s="62" t="s">
        <v>426</v>
      </c>
    </row>
    <row r="48" spans="1:12" ht="19.5" customHeight="1">
      <c r="A48" s="53" t="s">
        <v>427</v>
      </c>
      <c r="B48" s="54" t="s">
        <v>428</v>
      </c>
      <c r="C48" s="55" t="s">
        <v>429</v>
      </c>
      <c r="D48" s="33" t="s">
        <v>430</v>
      </c>
      <c r="E48" s="56">
        <f>('INPUT DATA'!B26+'INPUT DATA'!B22)/'INPUT DATA'!B30</f>
        <v>0.48359659781287972</v>
      </c>
      <c r="F48" s="57">
        <f>'INPUT DATA'!C26/'INPUT DATA'!C30</f>
        <v>1.7611447440836543E-2</v>
      </c>
      <c r="G48" s="57">
        <f>'INPUT DATA'!D26/'INPUT DATA'!D30</f>
        <v>1.7998105462582886E-2</v>
      </c>
      <c r="H48" s="58" t="s">
        <v>431</v>
      </c>
      <c r="I48" s="59" t="s">
        <v>432</v>
      </c>
      <c r="J48" s="60"/>
      <c r="K48" s="61" t="str">
        <f>IF(AND(E48&gt;=0.45,E48&lt;=0.55),"SEHAT ✓",IF(AND(E48&gt;=0.4,E48&lt;=0.6),"PERHATIAN","BERISIKO ✗"))</f>
        <v>SEHAT ✓</v>
      </c>
      <c r="L48" s="62" t="s">
        <v>433</v>
      </c>
    </row>
    <row r="49" spans="1:12" ht="21.75" customHeight="1">
      <c r="A49" s="5" t="s">
        <v>434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21.75" customHeight="1">
      <c r="A50" s="30" t="s">
        <v>228</v>
      </c>
      <c r="B50" s="30" t="s">
        <v>229</v>
      </c>
      <c r="C50" s="30" t="s">
        <v>230</v>
      </c>
      <c r="D50" s="30" t="s">
        <v>231</v>
      </c>
      <c r="E50" s="30" t="s">
        <v>205</v>
      </c>
      <c r="F50" s="30" t="s">
        <v>206</v>
      </c>
      <c r="G50" s="30" t="s">
        <v>207</v>
      </c>
      <c r="H50" s="30" t="s">
        <v>232</v>
      </c>
      <c r="I50" s="30" t="s">
        <v>233</v>
      </c>
      <c r="J50" s="30" t="s">
        <v>234</v>
      </c>
      <c r="K50" s="30" t="s">
        <v>235</v>
      </c>
      <c r="L50" s="30" t="s">
        <v>106</v>
      </c>
    </row>
    <row r="51" spans="1:12" ht="21.75" customHeight="1">
      <c r="A51" s="70" t="s">
        <v>50</v>
      </c>
      <c r="B51" s="71" t="s">
        <v>435</v>
      </c>
      <c r="C51" s="72" t="s">
        <v>436</v>
      </c>
      <c r="D51" s="33" t="s">
        <v>437</v>
      </c>
      <c r="E51" s="56">
        <f>'INPUT DATA'!B15/'INPUT DATA'!B16</f>
        <v>0.86712408194820256</v>
      </c>
      <c r="F51" s="57">
        <f>'INPUT DATA'!C15/'INPUT DATA'!C16</f>
        <v>0.86473583704646717</v>
      </c>
      <c r="G51" s="57">
        <f>'INPUT DATA'!D15/'INPUT DATA'!D16</f>
        <v>0.86223472857310357</v>
      </c>
      <c r="H51" s="73" t="s">
        <v>374</v>
      </c>
      <c r="I51" s="59" t="s">
        <v>374</v>
      </c>
      <c r="J51" s="74"/>
      <c r="K51" s="61" t="str">
        <f>IF(E51&gt;=0.3,"YA TERPENUHI ✓","BELUM TERPENUHI ✗")</f>
        <v>YA TERPENUHI ✓</v>
      </c>
      <c r="L51" s="62" t="s">
        <v>437</v>
      </c>
    </row>
    <row r="52" spans="1:12" ht="21.75" customHeight="1">
      <c r="A52" s="70" t="s">
        <v>53</v>
      </c>
      <c r="B52" s="71" t="s">
        <v>438</v>
      </c>
      <c r="C52" s="72" t="s">
        <v>436</v>
      </c>
      <c r="D52" s="33" t="s">
        <v>439</v>
      </c>
      <c r="E52" s="56">
        <f>'INPUT DATA'!B20/'INPUT DATA'!B30</f>
        <v>0.58323207776427699</v>
      </c>
      <c r="F52" s="57">
        <f>'INPUT DATA'!C20/'INPUT DATA'!C30</f>
        <v>0.57787561915244912</v>
      </c>
      <c r="G52" s="57">
        <f>'INPUT DATA'!D20/'INPUT DATA'!D30</f>
        <v>0.57467634985790972</v>
      </c>
      <c r="H52" s="73" t="s">
        <v>309</v>
      </c>
      <c r="I52" s="59" t="s">
        <v>309</v>
      </c>
      <c r="J52" s="74"/>
      <c r="K52" s="61" t="str">
        <f>IF(E52&gt;=0.65,"YA TERPENUHI ✓","BELUM TERPENUHI ✗")</f>
        <v>BELUM TERPENUHI ✗</v>
      </c>
      <c r="L52" s="62" t="s">
        <v>439</v>
      </c>
    </row>
    <row r="53" spans="1:12" ht="21.75" customHeight="1">
      <c r="A53" s="70" t="s">
        <v>56</v>
      </c>
      <c r="B53" s="71" t="s">
        <v>440</v>
      </c>
      <c r="C53" s="72" t="s">
        <v>436</v>
      </c>
      <c r="D53" s="33" t="s">
        <v>441</v>
      </c>
      <c r="E53" s="56">
        <f>'INPUT DATA'!E60</f>
        <v>7.4832519489358651E-2</v>
      </c>
      <c r="F53" s="57" t="s">
        <v>352</v>
      </c>
      <c r="G53" s="57" t="s">
        <v>352</v>
      </c>
      <c r="H53" s="73" t="s">
        <v>442</v>
      </c>
      <c r="I53" s="59" t="s">
        <v>442</v>
      </c>
      <c r="J53" s="74"/>
      <c r="K53" s="61" t="str">
        <f>IF(E53&lt;=0.1,"YA TERPENUHI ✓","BELUM TERPENUHI ✗")</f>
        <v>YA TERPENUHI ✓</v>
      </c>
      <c r="L53" s="62" t="s">
        <v>441</v>
      </c>
    </row>
    <row r="54" spans="1:12" ht="21.75" customHeight="1">
      <c r="A54" s="70" t="s">
        <v>59</v>
      </c>
      <c r="B54" s="71" t="s">
        <v>443</v>
      </c>
      <c r="C54" s="72" t="s">
        <v>436</v>
      </c>
      <c r="D54" s="33" t="s">
        <v>444</v>
      </c>
      <c r="E54" s="56">
        <f>'INPUT DATA'!B23/'INPUT DATA'!B30</f>
        <v>0.12636695018226002</v>
      </c>
      <c r="F54" s="57">
        <f>'INPUT DATA'!C23/'INPUT DATA'!C30</f>
        <v>0.12658227848101267</v>
      </c>
      <c r="G54" s="57">
        <f>'INPUT DATA'!D23/'INPUT DATA'!D30</f>
        <v>0.12630249447426586</v>
      </c>
      <c r="H54" s="73" t="s">
        <v>445</v>
      </c>
      <c r="I54" s="59" t="s">
        <v>445</v>
      </c>
      <c r="J54" s="74"/>
      <c r="K54" s="61" t="str">
        <f>IF(E54&gt;=0.15,"YA TERPENUHI ✓","BELUM TERPENUHI ✗")</f>
        <v>BELUM TERPENUHI ✗</v>
      </c>
      <c r="L54" s="62" t="s">
        <v>444</v>
      </c>
    </row>
    <row r="55" spans="1:12" ht="21.75" customHeight="1">
      <c r="A55" s="70" t="s">
        <v>62</v>
      </c>
      <c r="B55" s="71" t="s">
        <v>446</v>
      </c>
      <c r="C55" s="72" t="s">
        <v>436</v>
      </c>
      <c r="D55" s="33" t="s">
        <v>447</v>
      </c>
      <c r="E55" s="56">
        <f>('INPUT DATA'!B24+'INPUT DATA'!B25)/'INPUT DATA'!B30</f>
        <v>0.1117861482381531</v>
      </c>
      <c r="F55" s="57">
        <f>('INPUT DATA'!C24+'INPUT DATA'!C25)/'INPUT DATA'!C30</f>
        <v>0.11282333516785911</v>
      </c>
      <c r="G55" s="57">
        <f>('INPUT DATA'!D24+'INPUT DATA'!D25)/'INPUT DATA'!D30</f>
        <v>0.11367224502683929</v>
      </c>
      <c r="H55" s="73" t="s">
        <v>448</v>
      </c>
      <c r="I55" s="59" t="s">
        <v>448</v>
      </c>
      <c r="J55" s="74"/>
      <c r="K55" s="61" t="str">
        <f>IF(E55&gt;=0.2,"YA TERPENUHI ✓","BELUM TERPENUHI ✗")</f>
        <v>BELUM TERPENUHI ✗</v>
      </c>
      <c r="L55" s="62" t="s">
        <v>447</v>
      </c>
    </row>
    <row r="56" spans="1:12" ht="21.75" customHeight="1">
      <c r="A56" s="70" t="s">
        <v>65</v>
      </c>
      <c r="B56" s="71" t="s">
        <v>449</v>
      </c>
      <c r="C56" s="72" t="s">
        <v>436</v>
      </c>
      <c r="D56" s="33" t="s">
        <v>450</v>
      </c>
      <c r="E56" s="56">
        <f>('INPUT DATA'!B16-'INPUT DATA'!C16)/'INPUT DATA'!C16</f>
        <v>9.7814555484829202E-2</v>
      </c>
      <c r="F56" s="57">
        <f>('INPUT DATA'!C16-'INPUT DATA'!D16)/'INPUT DATA'!D16</f>
        <v>0.10517059444249033</v>
      </c>
      <c r="G56" s="57" t="s">
        <v>352</v>
      </c>
      <c r="H56" s="73" t="s">
        <v>379</v>
      </c>
      <c r="I56" s="59" t="s">
        <v>379</v>
      </c>
      <c r="J56" s="74"/>
      <c r="K56" s="61" t="str">
        <f>IF(E56&gt;=0.05,"YA TERPENUHI ✓","BELUM TERPENUHI ✗")</f>
        <v>YA TERPENUHI ✓</v>
      </c>
      <c r="L56" s="62" t="s">
        <v>450</v>
      </c>
    </row>
    <row r="57" spans="1:12" ht="21.75" customHeight="1">
      <c r="A57" s="70" t="s">
        <v>68</v>
      </c>
      <c r="B57" s="71" t="s">
        <v>451</v>
      </c>
      <c r="C57" s="72" t="s">
        <v>436</v>
      </c>
      <c r="D57" s="33" t="s">
        <v>452</v>
      </c>
      <c r="E57" s="68">
        <f>'INPUT DATA'!B30/'INPUT DATA'!B71</f>
        <v>14696428.571428571</v>
      </c>
      <c r="F57" s="69">
        <f>'INPUT DATA'!C30/'INPUT DATA'!C71</f>
        <v>13976923.076923076</v>
      </c>
      <c r="G57" s="57">
        <f>'INPUT DATA'!D30/'INPUT DATA'!D71</f>
        <v>13195833.333333334</v>
      </c>
      <c r="H57" s="73" t="s">
        <v>313</v>
      </c>
      <c r="I57" s="59" t="s">
        <v>313</v>
      </c>
      <c r="J57" s="74"/>
      <c r="K57" s="61" t="s">
        <v>453</v>
      </c>
      <c r="L57" s="62" t="s">
        <v>452</v>
      </c>
    </row>
    <row r="58" spans="1:12" ht="21.75" customHeight="1">
      <c r="A58" s="70" t="s">
        <v>71</v>
      </c>
      <c r="B58" s="71" t="s">
        <v>454</v>
      </c>
      <c r="C58" s="72" t="s">
        <v>436</v>
      </c>
      <c r="D58" s="33" t="s">
        <v>455</v>
      </c>
      <c r="E58" s="56">
        <f>IKK!B12</f>
        <v>3.1107224353281961</v>
      </c>
      <c r="F58" s="57" t="s">
        <v>352</v>
      </c>
      <c r="G58" s="57" t="s">
        <v>352</v>
      </c>
      <c r="H58" s="73" t="s">
        <v>456</v>
      </c>
      <c r="I58" s="59" t="s">
        <v>456</v>
      </c>
      <c r="J58" s="74"/>
      <c r="K58" s="61" t="str">
        <f>IF(IKK!B12&gt;=2.5,"YA TERPENUHI ✓","BELUM TERPENUHI ✗")</f>
        <v>YA TERPENUHI ✓</v>
      </c>
      <c r="L58" s="62" t="s">
        <v>455</v>
      </c>
    </row>
    <row r="59" spans="1:12" ht="21.75" customHeight="1">
      <c r="A59" s="70" t="s">
        <v>74</v>
      </c>
      <c r="B59" s="71" t="s">
        <v>457</v>
      </c>
      <c r="C59" s="72" t="s">
        <v>436</v>
      </c>
      <c r="D59" s="33" t="s">
        <v>458</v>
      </c>
      <c r="E59" s="56">
        <f>'INPUT DATA'!B49/'INPUT DATA'!B41</f>
        <v>1.7428571428571429</v>
      </c>
      <c r="F59" s="57">
        <f>'INPUT DATA'!C49/'INPUT DATA'!C41</f>
        <v>1.7</v>
      </c>
      <c r="G59" s="57">
        <f>'INPUT DATA'!D49/'INPUT DATA'!D41</f>
        <v>1.6881818181818182</v>
      </c>
      <c r="H59" s="73" t="s">
        <v>280</v>
      </c>
      <c r="I59" s="59" t="s">
        <v>280</v>
      </c>
      <c r="J59" s="74"/>
      <c r="K59" s="61" t="str">
        <f>IF(E59&gt;=1,"YA TERPENUHI ✓","BELUM TERPENUHI ✗")</f>
        <v>YA TERPENUHI ✓</v>
      </c>
      <c r="L59" s="62" t="s">
        <v>458</v>
      </c>
    </row>
    <row r="60" spans="1:12" ht="21.75" customHeight="1">
      <c r="A60" s="70" t="s">
        <v>77</v>
      </c>
      <c r="B60" s="71" t="s">
        <v>459</v>
      </c>
      <c r="C60" s="72" t="s">
        <v>436</v>
      </c>
      <c r="D60" s="33" t="s">
        <v>460</v>
      </c>
      <c r="E60" s="75">
        <f>'TRIDHARMA ATT'!B9</f>
        <v>1</v>
      </c>
      <c r="F60" s="57" t="s">
        <v>352</v>
      </c>
      <c r="G60" s="57" t="s">
        <v>352</v>
      </c>
      <c r="H60" s="73" t="s">
        <v>461</v>
      </c>
      <c r="I60" s="59" t="s">
        <v>461</v>
      </c>
      <c r="J60" s="74"/>
      <c r="K60" s="61" t="str">
        <f>IF(ABS(E60-1)&lt;=0.33,"YA TERPENUHI ✓","PERLU REBALANCING")</f>
        <v>YA TERPENUHI ✓</v>
      </c>
      <c r="L60" s="62" t="s">
        <v>460</v>
      </c>
    </row>
    <row r="61" spans="1:12" ht="6" customHeight="1"/>
    <row r="62" spans="1:12" ht="21.75" customHeight="1">
      <c r="A62" s="1" t="s">
        <v>462</v>
      </c>
      <c r="B62" s="1"/>
      <c r="C62" s="1"/>
      <c r="D62" s="1"/>
      <c r="E62" s="76">
        <f>COUNTIF(K51:K60,"YA*")</f>
        <v>6</v>
      </c>
      <c r="F62" s="77">
        <f>E62/10</f>
        <v>0.6</v>
      </c>
    </row>
  </sheetData>
  <mergeCells count="11">
    <mergeCell ref="A62:D62"/>
    <mergeCell ref="A23:L23"/>
    <mergeCell ref="A29:L29"/>
    <mergeCell ref="A35:L35"/>
    <mergeCell ref="A43:L43"/>
    <mergeCell ref="A49:L49"/>
    <mergeCell ref="A1:L1"/>
    <mergeCell ref="A2:L2"/>
    <mergeCell ref="A3:L3"/>
    <mergeCell ref="A9:L9"/>
    <mergeCell ref="A15:L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zoomScaleNormal="100" workbookViewId="0"/>
  </sheetViews>
  <sheetFormatPr defaultColWidth="8.7109375" defaultRowHeight="15"/>
  <cols>
    <col min="1" max="1" width="38" customWidth="1"/>
    <col min="2" max="2" width="18" customWidth="1"/>
    <col min="3" max="3" width="22" customWidth="1"/>
    <col min="4" max="4" width="28" customWidth="1"/>
    <col min="5" max="5" width="8" customWidth="1"/>
    <col min="6" max="6" width="20" customWidth="1"/>
  </cols>
  <sheetData>
    <row r="1" spans="1:6" ht="24" customHeight="1">
      <c r="A1" s="13" t="s">
        <v>463</v>
      </c>
      <c r="B1" s="13"/>
      <c r="C1" s="13"/>
      <c r="D1" s="13"/>
      <c r="E1" s="13"/>
      <c r="F1" s="13"/>
    </row>
    <row r="2" spans="1:6" ht="18" customHeight="1">
      <c r="A2" s="8" t="s">
        <v>464</v>
      </c>
      <c r="B2" s="8"/>
      <c r="C2" s="8"/>
      <c r="D2" s="8"/>
      <c r="E2" s="8"/>
      <c r="F2" s="8"/>
    </row>
    <row r="3" spans="1:6" ht="6" customHeight="1"/>
    <row r="4" spans="1:6" ht="21.75" customHeight="1">
      <c r="A4" s="49" t="s">
        <v>204</v>
      </c>
      <c r="B4" s="49" t="s">
        <v>465</v>
      </c>
      <c r="C4" s="49" t="s">
        <v>466</v>
      </c>
      <c r="D4" s="49" t="s">
        <v>467</v>
      </c>
      <c r="E4" s="49" t="s">
        <v>468</v>
      </c>
      <c r="F4" s="49" t="s">
        <v>469</v>
      </c>
    </row>
    <row r="5" spans="1:6" ht="18" customHeight="1">
      <c r="A5" s="31" t="s">
        <v>470</v>
      </c>
      <c r="B5" s="78">
        <f>'HASIL RASIO'!E51</f>
        <v>0.86712408194820256</v>
      </c>
      <c r="C5" s="79">
        <v>0.5</v>
      </c>
      <c r="D5" s="45">
        <f>MIN(1,MAX(0,B5/C5))</f>
        <v>1</v>
      </c>
      <c r="E5" s="80">
        <v>0.3</v>
      </c>
      <c r="F5" s="45">
        <f>D5*E5</f>
        <v>0.3</v>
      </c>
    </row>
    <row r="6" spans="1:6" ht="18" customHeight="1">
      <c r="A6" s="31" t="s">
        <v>471</v>
      </c>
      <c r="B6" s="78">
        <f>'HASIL RASIO'!E52</f>
        <v>0.58323207776427699</v>
      </c>
      <c r="C6" s="79">
        <v>0.9</v>
      </c>
      <c r="D6" s="45">
        <f>MIN(1,MAX(0,B6/C6))</f>
        <v>0.64803564196030772</v>
      </c>
      <c r="E6" s="80">
        <v>0.25</v>
      </c>
      <c r="F6" s="45">
        <f>D6*E6</f>
        <v>0.16200891049007693</v>
      </c>
    </row>
    <row r="7" spans="1:6" ht="18" customHeight="1">
      <c r="A7" s="31" t="s">
        <v>472</v>
      </c>
      <c r="B7" s="78">
        <f>'HASIL RASIO'!E59</f>
        <v>1.7428571428571429</v>
      </c>
      <c r="C7" s="79">
        <v>2</v>
      </c>
      <c r="D7" s="45">
        <f>MIN(1,MAX(0,B7/C7))</f>
        <v>0.87142857142857144</v>
      </c>
      <c r="E7" s="80">
        <v>0.25</v>
      </c>
      <c r="F7" s="45">
        <f>D7*E7</f>
        <v>0.21785714285714286</v>
      </c>
    </row>
    <row r="8" spans="1:6" ht="18" customHeight="1">
      <c r="A8" s="31" t="s">
        <v>473</v>
      </c>
      <c r="B8" s="78">
        <f>'HASIL RASIO'!E56</f>
        <v>9.7814555484829202E-2</v>
      </c>
      <c r="C8" s="79">
        <v>0.2</v>
      </c>
      <c r="D8" s="45">
        <f>MIN(1,MAX(0,B8/C8))</f>
        <v>0.48907277742414601</v>
      </c>
      <c r="E8" s="80">
        <v>0.2</v>
      </c>
      <c r="F8" s="45">
        <f>D8*E8</f>
        <v>9.7814555484829202E-2</v>
      </c>
    </row>
    <row r="9" spans="1:6" ht="6" customHeight="1"/>
    <row r="10" spans="1:6" ht="21.75" customHeight="1">
      <c r="A10" s="37" t="s">
        <v>474</v>
      </c>
      <c r="E10" s="81">
        <f>SUM(E5:E8)</f>
        <v>1</v>
      </c>
      <c r="F10" s="82">
        <f>SUM(F5:F8)</f>
        <v>0.77768060883204904</v>
      </c>
    </row>
    <row r="11" spans="1:6" ht="6" customHeight="1"/>
    <row r="12" spans="1:6" ht="25.5" customHeight="1">
      <c r="A12" s="83" t="s">
        <v>475</v>
      </c>
      <c r="B12" s="84">
        <f>F10*4</f>
        <v>3.1107224353281961</v>
      </c>
      <c r="C12" s="59" t="s">
        <v>476</v>
      </c>
      <c r="D12" s="85" t="str">
        <f>IF(B12&gt;=2.5,"YA TERPENUHI ✓","BELUM TERPENUHI ✗")</f>
        <v>YA TERPENUHI ✓</v>
      </c>
    </row>
    <row r="14" spans="1:6" ht="19.5" customHeight="1">
      <c r="A14" s="86" t="s">
        <v>477</v>
      </c>
      <c r="B14" s="87" t="s">
        <v>478</v>
      </c>
      <c r="C14" s="88" t="s">
        <v>479</v>
      </c>
      <c r="D14" s="89"/>
    </row>
    <row r="15" spans="1:6" ht="19.5" customHeight="1">
      <c r="A15" s="86" t="s">
        <v>480</v>
      </c>
      <c r="B15" s="87" t="s">
        <v>481</v>
      </c>
      <c r="C15" s="88" t="s">
        <v>482</v>
      </c>
      <c r="D15" s="89"/>
    </row>
    <row r="16" spans="1:6" ht="19.5" customHeight="1">
      <c r="A16" s="59" t="s">
        <v>483</v>
      </c>
      <c r="B16" s="90" t="s">
        <v>484</v>
      </c>
      <c r="C16" s="88" t="s">
        <v>485</v>
      </c>
      <c r="D16" s="89"/>
    </row>
    <row r="17" spans="1:4" ht="19.5" customHeight="1">
      <c r="A17" s="91" t="s">
        <v>486</v>
      </c>
      <c r="B17" s="92" t="s">
        <v>487</v>
      </c>
      <c r="C17" s="88" t="s">
        <v>488</v>
      </c>
      <c r="D17" s="89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zoomScaleNormal="100" workbookViewId="0"/>
  </sheetViews>
  <sheetFormatPr defaultColWidth="8.7109375" defaultRowHeight="15"/>
  <cols>
    <col min="1" max="1" width="42" customWidth="1"/>
    <col min="2" max="3" width="22" customWidth="1"/>
    <col min="4" max="4" width="18" customWidth="1"/>
    <col min="5" max="5" width="12" customWidth="1"/>
    <col min="6" max="6" width="22" customWidth="1"/>
    <col min="7" max="7" width="40" customWidth="1"/>
  </cols>
  <sheetData>
    <row r="1" spans="1:7" ht="21.75" customHeight="1">
      <c r="A1" s="13" t="s">
        <v>489</v>
      </c>
      <c r="B1" s="13"/>
      <c r="C1" s="13"/>
      <c r="D1" s="13"/>
      <c r="E1" s="13"/>
      <c r="F1" s="13"/>
      <c r="G1" s="13"/>
    </row>
    <row r="2" spans="1:7" ht="18" customHeight="1">
      <c r="A2" s="8" t="s">
        <v>490</v>
      </c>
      <c r="B2" s="8"/>
      <c r="C2" s="8"/>
      <c r="D2" s="8"/>
      <c r="E2" s="8"/>
      <c r="F2" s="8"/>
      <c r="G2" s="8"/>
    </row>
    <row r="3" spans="1:7" ht="21.75" customHeight="1">
      <c r="A3" s="49" t="s">
        <v>182</v>
      </c>
      <c r="B3" s="49" t="s">
        <v>491</v>
      </c>
      <c r="C3" s="49" t="s">
        <v>492</v>
      </c>
      <c r="D3" s="49" t="s">
        <v>185</v>
      </c>
      <c r="E3" s="49" t="s">
        <v>186</v>
      </c>
      <c r="F3" s="49" t="s">
        <v>493</v>
      </c>
      <c r="G3" s="49" t="s">
        <v>494</v>
      </c>
    </row>
    <row r="4" spans="1:7" ht="18" customHeight="1">
      <c r="A4" s="31" t="s">
        <v>25</v>
      </c>
      <c r="B4" s="93">
        <f>'INPUT DATA'!B54</f>
        <v>38800000000</v>
      </c>
      <c r="C4" s="93">
        <f>'INPUT DATA'!C54</f>
        <v>41392000000</v>
      </c>
      <c r="D4" s="44">
        <f>C4-B4</f>
        <v>2592000000</v>
      </c>
      <c r="E4" s="45">
        <f>IF(B4=0,0,(C4-B4)/B4)</f>
        <v>6.6804123711340202E-2</v>
      </c>
      <c r="F4" s="94" t="str">
        <f>IF(ABS(E4)&lt;=0.1,"DALAM BATAS ✓","MELAMPAUI BATAS ✗")</f>
        <v>DALAM BATAS ✓</v>
      </c>
      <c r="G4" s="95" t="str">
        <f>IF(ABS(E4)&lt;=0.1,"Varians dalam toleransi ±10%","Deviasi "&amp;TEXT(E4,"0.00%")&amp;" — wajib penjelasan &amp; tindak lanjut")</f>
        <v>Varians dalam toleransi ±10%</v>
      </c>
    </row>
    <row r="5" spans="1:7" ht="18" customHeight="1">
      <c r="A5" s="31" t="s">
        <v>187</v>
      </c>
      <c r="B5" s="93">
        <f>'INPUT DATA'!B55</f>
        <v>22000000000</v>
      </c>
      <c r="C5" s="93">
        <f>'INPUT DATA'!C55</f>
        <v>24000000000</v>
      </c>
      <c r="D5" s="44">
        <f>C5-B5</f>
        <v>2000000000</v>
      </c>
      <c r="E5" s="45">
        <f>IF(B5=0,0,(C5-B5)/B5)</f>
        <v>9.0909090909090912E-2</v>
      </c>
      <c r="F5" s="94" t="str">
        <f>IF(ABS(E5)&lt;=0.1,"DALAM BATAS ✓","MELAMPAUI BATAS ✗")</f>
        <v>DALAM BATAS ✓</v>
      </c>
      <c r="G5" s="95" t="str">
        <f>IF(ABS(E5)&lt;=0.1,"Varians dalam toleransi ±10%","Deviasi "&amp;TEXT(E5,"0.00%")&amp;" — wajib penjelasan &amp; tindak lanjut")</f>
        <v>Varians dalam toleransi ±10%</v>
      </c>
    </row>
    <row r="6" spans="1:7" ht="18" customHeight="1">
      <c r="A6" s="31" t="s">
        <v>188</v>
      </c>
      <c r="B6" s="93">
        <f>'INPUT DATA'!B56</f>
        <v>4800000000</v>
      </c>
      <c r="C6" s="93">
        <f>'INPUT DATA'!C56</f>
        <v>5200000000</v>
      </c>
      <c r="D6" s="44">
        <f>C6-B6</f>
        <v>400000000</v>
      </c>
      <c r="E6" s="45">
        <f>IF(B6=0,0,(C6-B6)/B6)</f>
        <v>8.3333333333333329E-2</v>
      </c>
      <c r="F6" s="94" t="str">
        <f>IF(ABS(E6)&lt;=0.1,"DALAM BATAS ✓","MELAMPAUI BATAS ✗")</f>
        <v>DALAM BATAS ✓</v>
      </c>
      <c r="G6" s="95" t="str">
        <f>IF(ABS(E6)&lt;=0.1,"Varians dalam toleransi ±10%","Deviasi "&amp;TEXT(E6,"0.00%")&amp;" — wajib penjelasan &amp; tindak lanjut")</f>
        <v>Varians dalam toleransi ±10%</v>
      </c>
    </row>
    <row r="7" spans="1:7" ht="18" customHeight="1">
      <c r="A7" s="31" t="s">
        <v>495</v>
      </c>
      <c r="B7" s="93">
        <f>'INPUT DATA'!B57</f>
        <v>4200000000</v>
      </c>
      <c r="C7" s="93">
        <f>'INPUT DATA'!C57</f>
        <v>4600000000</v>
      </c>
      <c r="D7" s="44">
        <f>C7-B7</f>
        <v>400000000</v>
      </c>
      <c r="E7" s="45">
        <f>IF(B7=0,0,(C7-B7)/B7)</f>
        <v>9.5238095238095233E-2</v>
      </c>
      <c r="F7" s="94" t="str">
        <f>IF(ABS(E7)&lt;=0.1,"DALAM BATAS ✓","MELAMPAUI BATAS ✗")</f>
        <v>DALAM BATAS ✓</v>
      </c>
      <c r="G7" s="95" t="str">
        <f>IF(ABS(E7)&lt;=0.1,"Varians dalam toleransi ±10%","Deviasi "&amp;TEXT(E7,"0.00%")&amp;" — wajib penjelasan &amp; tindak lanjut")</f>
        <v>Varians dalam toleransi ±10%</v>
      </c>
    </row>
    <row r="8" spans="1:7" ht="18" customHeight="1">
      <c r="A8" s="31" t="s">
        <v>190</v>
      </c>
      <c r="B8" s="93">
        <f>'INPUT DATA'!B58</f>
        <v>3650000000</v>
      </c>
      <c r="C8" s="93">
        <f>'INPUT DATA'!C58</f>
        <v>3800000000</v>
      </c>
      <c r="D8" s="44">
        <f>C8-B8</f>
        <v>150000000</v>
      </c>
      <c r="E8" s="45">
        <f>IF(B8=0,0,(C8-B8)/B8)</f>
        <v>4.1095890410958902E-2</v>
      </c>
      <c r="F8" s="94" t="str">
        <f>IF(ABS(E8)&lt;=0.1,"DALAM BATAS ✓","MELAMPAUI BATAS ✗")</f>
        <v>DALAM BATAS ✓</v>
      </c>
      <c r="G8" s="95" t="str">
        <f>IF(ABS(E8)&lt;=0.1,"Varians dalam toleransi ±10%","Deviasi "&amp;TEXT(E8,"0.00%")&amp;" — wajib penjelasan &amp; tindak lanjut")</f>
        <v>Varians dalam toleransi ±10%</v>
      </c>
    </row>
    <row r="9" spans="1:7" ht="18" customHeight="1">
      <c r="A9" s="31" t="s">
        <v>191</v>
      </c>
      <c r="B9" s="93">
        <f>'INPUT DATA'!B59</f>
        <v>38400000000</v>
      </c>
      <c r="C9" s="93">
        <f>'INPUT DATA'!C59</f>
        <v>41150000000</v>
      </c>
      <c r="D9" s="44">
        <f>C9-B9</f>
        <v>2750000000</v>
      </c>
      <c r="E9" s="45">
        <f>IF(B9=0,0,(C9-B9)/B9)</f>
        <v>7.1614583333333329E-2</v>
      </c>
      <c r="F9" s="94" t="str">
        <f>IF(ABS(E9)&lt;=0.1,"DALAM BATAS ✓","MELAMPAUI BATAS ✗")</f>
        <v>DALAM BATAS ✓</v>
      </c>
      <c r="G9" s="95" t="str">
        <f>IF(ABS(E9)&lt;=0.1,"Varians dalam toleransi ±10%","Deviasi "&amp;TEXT(E9,"0.00%")&amp;" — wajib penjelasan &amp; tindak lanjut")</f>
        <v>Varians dalam toleransi ±10%</v>
      </c>
    </row>
    <row r="10" spans="1:7" ht="6" customHeight="1"/>
    <row r="11" spans="1:7" ht="24" customHeight="1">
      <c r="A11" s="83" t="s">
        <v>496</v>
      </c>
      <c r="B11" s="140"/>
      <c r="C11" s="140"/>
      <c r="D11" s="140"/>
      <c r="E11" s="82">
        <f>'INPUT DATA'!E60</f>
        <v>7.4832519489358651E-2</v>
      </c>
      <c r="F11" s="81" t="str">
        <f>IF(E11&lt;=0.1,"LAMEMBA: TERPENUHI ✓","LAMEMBA: BELUM TERPENUHI ✗")</f>
        <v>LAMEMBA: TERPENUHI ✓</v>
      </c>
    </row>
  </sheetData>
  <mergeCells count="3">
    <mergeCell ref="A1:G1"/>
    <mergeCell ref="A2:G2"/>
    <mergeCell ref="B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zoomScaleNormal="100" workbookViewId="0"/>
  </sheetViews>
  <sheetFormatPr defaultColWidth="8.7109375" defaultRowHeight="15"/>
  <cols>
    <col min="1" max="1" width="36" customWidth="1"/>
    <col min="2" max="2" width="22" customWidth="1"/>
    <col min="3" max="3" width="14" customWidth="1"/>
    <col min="4" max="4" width="20" customWidth="1"/>
    <col min="5" max="5" width="18" customWidth="1"/>
    <col min="6" max="6" width="44" customWidth="1"/>
    <col min="7" max="7" width="6" customWidth="1"/>
  </cols>
  <sheetData>
    <row r="1" spans="1:7" ht="21.75" customHeight="1">
      <c r="A1" s="13" t="s">
        <v>497</v>
      </c>
      <c r="B1" s="13"/>
      <c r="C1" s="13"/>
      <c r="D1" s="13"/>
      <c r="E1" s="13"/>
      <c r="F1" s="13"/>
    </row>
    <row r="2" spans="1:7" ht="18" customHeight="1">
      <c r="A2" s="8" t="s">
        <v>498</v>
      </c>
      <c r="B2" s="8"/>
      <c r="C2" s="8"/>
      <c r="D2" s="8"/>
      <c r="E2" s="8"/>
      <c r="F2" s="8"/>
    </row>
    <row r="3" spans="1:7" ht="21.75" customHeight="1">
      <c r="A3" s="49" t="s">
        <v>194</v>
      </c>
      <c r="B3" s="96">
        <f>'INPUT DATA'!B20</f>
        <v>24000000000</v>
      </c>
      <c r="C3" s="49" t="s">
        <v>196</v>
      </c>
      <c r="D3" s="49" t="s">
        <v>197</v>
      </c>
      <c r="E3" s="49" t="s">
        <v>198</v>
      </c>
      <c r="F3" s="49" t="s">
        <v>499</v>
      </c>
    </row>
    <row r="4" spans="1:7" ht="19.5" customHeight="1">
      <c r="A4" s="50" t="s">
        <v>199</v>
      </c>
      <c r="B4" s="93">
        <f>'INPUT DATA'!B64</f>
        <v>13920000000</v>
      </c>
      <c r="C4" s="97">
        <v>0.5</v>
      </c>
      <c r="D4" s="44">
        <f>B4*C4</f>
        <v>6960000000</v>
      </c>
      <c r="E4" s="45">
        <f>IF(SUM($B$4:$B$6)=0,0,B4/SUM($B$4:$B$6))</f>
        <v>0.57999999999999996</v>
      </c>
      <c r="F4" s="98" t="str">
        <f>IF(ABS(E4-C4)&lt;=0.1,"Proporsional ✓","Perlu rebalancing — selisih "&amp;TEXT(ABS(E4-C4),"0.0%"))</f>
        <v>Proporsional ✓</v>
      </c>
      <c r="G4" s="74">
        <f>IF(F4="Proporsional ✓",1,0)</f>
        <v>1</v>
      </c>
    </row>
    <row r="5" spans="1:7" ht="19.5" customHeight="1">
      <c r="A5" s="50" t="s">
        <v>200</v>
      </c>
      <c r="B5" s="93">
        <f>'INPUT DATA'!B65</f>
        <v>6720000000</v>
      </c>
      <c r="C5" s="97">
        <v>0.3</v>
      </c>
      <c r="D5" s="44">
        <f>B5*C5</f>
        <v>2016000000</v>
      </c>
      <c r="E5" s="45">
        <f>IF(SUM($B$4:$B$6)=0,0,B5/SUM($B$4:$B$6))</f>
        <v>0.28000000000000003</v>
      </c>
      <c r="F5" s="98" t="str">
        <f>IF(ABS(E5-C5)&lt;=0.1,"Proporsional ✓","Perlu rebalancing — selisih "&amp;TEXT(ABS(E5-C5),"0.0%"))</f>
        <v>Proporsional ✓</v>
      </c>
      <c r="G5" s="74">
        <f>IF(F5="Proporsional ✓",1,0)</f>
        <v>1</v>
      </c>
    </row>
    <row r="6" spans="1:7" ht="19.5" customHeight="1">
      <c r="A6" s="50" t="s">
        <v>500</v>
      </c>
      <c r="B6" s="93">
        <f>'INPUT DATA'!B66</f>
        <v>3360000000</v>
      </c>
      <c r="C6" s="97">
        <v>0.2</v>
      </c>
      <c r="D6" s="44">
        <f>B6*C6</f>
        <v>672000000</v>
      </c>
      <c r="E6" s="45">
        <f>IF(SUM($B$4:$B$6)=0,0,B6/SUM($B$4:$B$6))</f>
        <v>0.14000000000000001</v>
      </c>
      <c r="F6" s="98" t="str">
        <f>IF(ABS(E6-C6)&lt;=0.1,"Proporsional ✓","Perlu rebalancing — selisih "&amp;TEXT(ABS(E6-C6),"0.0%"))</f>
        <v>Proporsional ✓</v>
      </c>
      <c r="G6" s="74">
        <f>IF(F6="Proporsional ✓",1,0)</f>
        <v>1</v>
      </c>
    </row>
    <row r="7" spans="1:7" ht="21.75" customHeight="1">
      <c r="A7" s="37" t="s">
        <v>501</v>
      </c>
      <c r="B7" s="38">
        <f>SUM(B4:B6)</f>
        <v>24000000000</v>
      </c>
      <c r="C7" s="99">
        <f>SUM(C4:C6)</f>
        <v>1</v>
      </c>
      <c r="D7" s="38">
        <f>SUM(D4:D6)</f>
        <v>9648000000</v>
      </c>
      <c r="E7" s="82">
        <f>SUM(E4:E6)</f>
        <v>1</v>
      </c>
    </row>
    <row r="8" spans="1:7" ht="6" customHeight="1"/>
    <row r="9" spans="1:7" ht="24" customHeight="1">
      <c r="A9" s="83" t="s">
        <v>502</v>
      </c>
      <c r="B9" s="100">
        <f>SUM(G4:G6)/3</f>
        <v>1</v>
      </c>
      <c r="C9" s="59" t="s">
        <v>503</v>
      </c>
      <c r="D9" s="85" t="str">
        <f>IF(B9=1,"YA TERPENUHI ✓","PERLU PENYESUAIAN")</f>
        <v>YA TERPENUHI ✓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zoomScaleNormal="100" workbookViewId="0"/>
  </sheetViews>
  <sheetFormatPr defaultColWidth="8.7109375" defaultRowHeight="15"/>
  <cols>
    <col min="1" max="1" width="24" customWidth="1"/>
    <col min="2" max="2" width="8" customWidth="1"/>
    <col min="3" max="3" width="58" customWidth="1"/>
    <col min="4" max="4" width="16" customWidth="1"/>
    <col min="5" max="5" width="18" customWidth="1"/>
    <col min="6" max="6" width="16" customWidth="1"/>
  </cols>
  <sheetData>
    <row r="1" spans="1:6" ht="21.75" customHeight="1">
      <c r="A1" s="13" t="s">
        <v>504</v>
      </c>
      <c r="B1" s="13"/>
      <c r="C1" s="13"/>
      <c r="D1" s="13"/>
      <c r="E1" s="13"/>
      <c r="F1" s="13"/>
    </row>
    <row r="2" spans="1:6" ht="6" customHeight="1"/>
    <row r="3" spans="1:6" ht="21.75" customHeight="1">
      <c r="A3" s="49" t="s">
        <v>505</v>
      </c>
      <c r="B3" s="49" t="s">
        <v>468</v>
      </c>
      <c r="C3" s="49" t="s">
        <v>506</v>
      </c>
      <c r="D3" s="49" t="s">
        <v>507</v>
      </c>
      <c r="E3" s="49" t="s">
        <v>508</v>
      </c>
      <c r="F3" s="49" t="s">
        <v>509</v>
      </c>
    </row>
    <row r="4" spans="1:6" ht="19.5" customHeight="1">
      <c r="A4" s="31" t="s">
        <v>510</v>
      </c>
      <c r="B4" s="101">
        <v>0.35</v>
      </c>
      <c r="C4" s="54" t="s">
        <v>511</v>
      </c>
      <c r="D4" s="102">
        <f>AVERAGE('HASIL RASIO'!J5:J8)</f>
        <v>52.516531834999171</v>
      </c>
      <c r="E4" s="73" t="s">
        <v>512</v>
      </c>
      <c r="F4" s="103" t="s">
        <v>513</v>
      </c>
    </row>
    <row r="5" spans="1:6" ht="19.5" customHeight="1">
      <c r="A5" s="31" t="s">
        <v>514</v>
      </c>
      <c r="B5" s="101">
        <v>0.25</v>
      </c>
      <c r="C5" s="54" t="s">
        <v>515</v>
      </c>
      <c r="D5" s="102">
        <f>AVERAGE('HASIL RASIO'!J11:J13)</f>
        <v>100</v>
      </c>
      <c r="E5" s="73" t="s">
        <v>516</v>
      </c>
      <c r="F5" s="103" t="s">
        <v>517</v>
      </c>
    </row>
    <row r="6" spans="1:6" ht="19.5" customHeight="1">
      <c r="A6" s="31" t="s">
        <v>518</v>
      </c>
      <c r="B6" s="101">
        <v>0.2</v>
      </c>
      <c r="C6" s="54" t="s">
        <v>519</v>
      </c>
      <c r="D6" s="102">
        <f>AVERAGE('HASIL RASIO'!J17:J19)</f>
        <v>57.461989434351231</v>
      </c>
      <c r="E6" s="73" t="s">
        <v>520</v>
      </c>
      <c r="F6" s="103" t="s">
        <v>521</v>
      </c>
    </row>
    <row r="7" spans="1:6" ht="19.5" customHeight="1">
      <c r="A7" s="31" t="s">
        <v>522</v>
      </c>
      <c r="B7" s="101">
        <v>0.15</v>
      </c>
      <c r="C7" s="54" t="s">
        <v>523</v>
      </c>
      <c r="D7" s="102">
        <f>AVERAGE('HASIL RASIO'!J25:J27)</f>
        <v>35.19191919191919</v>
      </c>
      <c r="E7" s="73" t="s">
        <v>524</v>
      </c>
      <c r="F7" s="103" t="s">
        <v>513</v>
      </c>
    </row>
    <row r="8" spans="1:6" ht="19.5" customHeight="1">
      <c r="A8" s="31" t="s">
        <v>82</v>
      </c>
      <c r="B8" s="101">
        <v>0.05</v>
      </c>
      <c r="C8" s="54" t="s">
        <v>525</v>
      </c>
      <c r="D8" s="102">
        <f>AVERAGE('HASIL RASIO'!J39:J41)</f>
        <v>47.525376168592253</v>
      </c>
      <c r="E8" s="73" t="s">
        <v>526</v>
      </c>
      <c r="F8" s="103" t="s">
        <v>513</v>
      </c>
    </row>
    <row r="9" spans="1:6" ht="24" customHeight="1">
      <c r="A9" s="37" t="s">
        <v>501</v>
      </c>
      <c r="B9" s="81" t="s">
        <v>527</v>
      </c>
      <c r="C9" s="104"/>
      <c r="D9" s="105">
        <f>(B4*D4)+(B5*D5)+(B6*D6)+(B7*D7)+(B8*D8)</f>
        <v>62.52824071633745</v>
      </c>
      <c r="F9" s="81" t="str">
        <f>IF(D9&gt;=85,"Sangat Baik ✓",IF(D9&gt;=70,"Baik ✓",IF(D9&gt;=50,"Perhatian","Berisiko ✗")))</f>
        <v>Perhatian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9"/>
  <sheetViews>
    <sheetView zoomScaleNormal="100" workbookViewId="0"/>
  </sheetViews>
  <sheetFormatPr defaultColWidth="8.7109375" defaultRowHeight="15"/>
  <cols>
    <col min="1" max="1" width="4" customWidth="1"/>
    <col min="2" max="2" width="6" customWidth="1"/>
    <col min="3" max="3" width="34" customWidth="1"/>
    <col min="4" max="4" width="16" customWidth="1"/>
    <col min="5" max="5" width="22" customWidth="1"/>
    <col min="6" max="7" width="4" customWidth="1"/>
    <col min="8" max="8" width="6" customWidth="1"/>
    <col min="9" max="9" width="34" customWidth="1"/>
    <col min="10" max="10" width="16" customWidth="1"/>
    <col min="11" max="11" width="22" customWidth="1"/>
    <col min="12" max="12" width="6" customWidth="1"/>
  </cols>
  <sheetData>
    <row r="1" spans="1:12" ht="27.75" customHeight="1">
      <c r="A1" s="13" t="s">
        <v>528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8" customHeight="1">
      <c r="A2" s="10" t="s">
        <v>529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6" customHeight="1"/>
    <row r="4" spans="1:12" ht="21.75" customHeight="1">
      <c r="B4" s="106" t="s">
        <v>530</v>
      </c>
      <c r="D4" s="106" t="s">
        <v>531</v>
      </c>
      <c r="G4" s="106" t="s">
        <v>532</v>
      </c>
      <c r="J4" s="106" t="s">
        <v>533</v>
      </c>
    </row>
    <row r="5" spans="1:12" ht="30" customHeight="1">
      <c r="B5" s="107">
        <f>'HASIL RASIO'!E62</f>
        <v>6</v>
      </c>
      <c r="D5" s="108">
        <f>'HASIL RASIO'!F62</f>
        <v>0.6</v>
      </c>
      <c r="G5" s="109">
        <f>IKK!B12</f>
        <v>3.1107224353281961</v>
      </c>
      <c r="J5" s="108">
        <f>('INPUT DATA'!B16-'INPUT DATA'!B30)/'INPUT DATA'!B16</f>
        <v>5.8465403942790876E-3</v>
      </c>
    </row>
    <row r="6" spans="1:12" ht="6" customHeight="1"/>
    <row r="7" spans="1:12" ht="21.75" customHeight="1">
      <c r="A7" s="9" t="s">
        <v>534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8" customHeight="1">
      <c r="B8" s="110" t="s">
        <v>50</v>
      </c>
      <c r="C8" s="88" t="str">
        <f>'HASIL RASIO'!B51</f>
        <v>★ ★ Rasio Kemandirian Keuangan (RK)</v>
      </c>
      <c r="D8" s="78">
        <f>'HASIL RASIO'!E51</f>
        <v>0.86712408194820256</v>
      </c>
      <c r="E8" s="94" t="str">
        <f>'HASIL RASIO'!K51</f>
        <v>YA TERPENUHI ✓</v>
      </c>
      <c r="H8" s="110" t="s">
        <v>65</v>
      </c>
      <c r="I8" s="88" t="str">
        <f>'HASIL RASIO'!B56</f>
        <v>★ ★ Pertumbuhan Pendapatan Tahunan (GRR)</v>
      </c>
      <c r="J8" s="78">
        <f>'HASIL RASIO'!E56</f>
        <v>9.7814555484829202E-2</v>
      </c>
      <c r="K8" s="94" t="str">
        <f>'HASIL RASIO'!K56</f>
        <v>YA TERPENUHI ✓</v>
      </c>
    </row>
    <row r="9" spans="1:12" ht="18" customHeight="1">
      <c r="B9" s="110" t="s">
        <v>53</v>
      </c>
      <c r="C9" s="88" t="str">
        <f>'HASIL RASIO'!B52</f>
        <v>★ ★ Rasio Efisiensi Operasional (REO)</v>
      </c>
      <c r="D9" s="78">
        <f>'HASIL RASIO'!E52</f>
        <v>0.58323207776427699</v>
      </c>
      <c r="E9" s="94" t="str">
        <f>'HASIL RASIO'!K52</f>
        <v>BELUM TERPENUHI ✗</v>
      </c>
      <c r="H9" s="110" t="s">
        <v>68</v>
      </c>
      <c r="I9" s="88" t="str">
        <f>'HASIL RASIO'!B57</f>
        <v>★ ★ Rasio Biaya per Mahasiswa (RBM)</v>
      </c>
      <c r="J9" s="93">
        <f>'HASIL RASIO'!E57</f>
        <v>14696428.571428571</v>
      </c>
      <c r="K9" s="94" t="str">
        <f>'HASIL RASIO'!K57</f>
        <v>"Lihat SPMI institusi"</v>
      </c>
    </row>
    <row r="10" spans="1:12" ht="18" customHeight="1">
      <c r="B10" s="110" t="s">
        <v>56</v>
      </c>
      <c r="C10" s="88" t="str">
        <f>'HASIL RASIO'!B53</f>
        <v>★ ★ Varians Anggaran (VA)</v>
      </c>
      <c r="D10" s="78">
        <f>'HASIL RASIO'!E53</f>
        <v>7.4832519489358651E-2</v>
      </c>
      <c r="E10" s="94" t="str">
        <f>'HASIL RASIO'!K53</f>
        <v>YA TERPENUHI ✓</v>
      </c>
      <c r="H10" s="110" t="s">
        <v>71</v>
      </c>
      <c r="I10" s="88" t="str">
        <f>'HASIL RASIO'!B58</f>
        <v>★ ★ Indeks Keberlanjutan Keuangan (IKK)</v>
      </c>
      <c r="J10" s="111">
        <f>IKK!B12</f>
        <v>3.1107224353281961</v>
      </c>
      <c r="K10" s="94" t="str">
        <f>'HASIL RASIO'!K58</f>
        <v>YA TERPENUHI ✓</v>
      </c>
    </row>
    <row r="11" spans="1:12" ht="18" customHeight="1">
      <c r="B11" s="110" t="s">
        <v>59</v>
      </c>
      <c r="C11" s="88" t="str">
        <f>'HASIL RASIO'!B54</f>
        <v>★ ★ Rasio Investasi SDM (RISDM)</v>
      </c>
      <c r="D11" s="78">
        <f>'HASIL RASIO'!E54</f>
        <v>0.12636695018226002</v>
      </c>
      <c r="E11" s="94" t="str">
        <f>'HASIL RASIO'!K54</f>
        <v>BELUM TERPENUHI ✗</v>
      </c>
      <c r="H11" s="110" t="s">
        <v>74</v>
      </c>
      <c r="I11" s="88" t="str">
        <f>'HASIL RASIO'!B59</f>
        <v>★ ★ Rasio Likuiditas Keuangan (RL)</v>
      </c>
      <c r="J11" s="112">
        <f>'HASIL RASIO'!E59</f>
        <v>1.7428571428571429</v>
      </c>
      <c r="K11" s="94" t="str">
        <f>'HASIL RASIO'!K59</f>
        <v>YA TERPENUHI ✓</v>
      </c>
    </row>
    <row r="12" spans="1:12" ht="18" customHeight="1">
      <c r="B12" s="110" t="s">
        <v>62</v>
      </c>
      <c r="C12" s="88" t="str">
        <f>'HASIL RASIO'!B55</f>
        <v>★ ★ Rasio Investasi Sarpras (RISP)</v>
      </c>
      <c r="D12" s="78">
        <f>'HASIL RASIO'!E55</f>
        <v>0.1117861482381531</v>
      </c>
      <c r="E12" s="94" t="str">
        <f>'HASIL RASIO'!K55</f>
        <v>BELUM TERPENUHI ✗</v>
      </c>
      <c r="H12" s="110" t="s">
        <v>77</v>
      </c>
      <c r="I12" s="88" t="str">
        <f>'HASIL RASIO'!B60</f>
        <v>★ ★ Alokasi Tridharma Terimbang (ATT)</v>
      </c>
      <c r="J12" s="111">
        <f>'HASIL RASIO'!E60</f>
        <v>1</v>
      </c>
      <c r="K12" s="94" t="str">
        <f>'HASIL RASIO'!K60</f>
        <v>YA TERPENUHI ✓</v>
      </c>
    </row>
    <row r="13" spans="1:12" ht="6" customHeight="1"/>
    <row r="14" spans="1:12" ht="21.75" customHeight="1">
      <c r="A14" s="9" t="s">
        <v>535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19.5" customHeight="1">
      <c r="B15" s="49" t="s">
        <v>228</v>
      </c>
      <c r="C15" s="49" t="s">
        <v>536</v>
      </c>
      <c r="D15" s="49" t="s">
        <v>205</v>
      </c>
      <c r="E15" s="49" t="s">
        <v>537</v>
      </c>
      <c r="F15" s="49" t="s">
        <v>493</v>
      </c>
      <c r="G15" s="113" t="s">
        <v>538</v>
      </c>
      <c r="H15" s="49" t="s">
        <v>228</v>
      </c>
      <c r="I15" s="49" t="s">
        <v>536</v>
      </c>
      <c r="J15" s="49" t="s">
        <v>205</v>
      </c>
      <c r="K15" s="49" t="s">
        <v>537</v>
      </c>
      <c r="L15" s="49" t="s">
        <v>493</v>
      </c>
    </row>
    <row r="16" spans="1:12" ht="15.75" customHeight="1">
      <c r="B16" s="114" t="s">
        <v>236</v>
      </c>
      <c r="C16" s="88" t="s">
        <v>539</v>
      </c>
      <c r="D16" s="115">
        <f>'HASIL RASIO'!E5</f>
        <v>0.4374240583232078</v>
      </c>
      <c r="E16" s="116" t="s">
        <v>540</v>
      </c>
      <c r="F16" s="117" t="str">
        <f>'HASIL RASIO'!K5</f>
        <v>SEHAT ✓</v>
      </c>
      <c r="H16" s="114" t="s">
        <v>334</v>
      </c>
      <c r="I16" s="88" t="s">
        <v>541</v>
      </c>
      <c r="J16" s="118">
        <f>'HASIL RASIO'!E28</f>
        <v>7857142.8571428573</v>
      </c>
      <c r="K16" s="116" t="s">
        <v>542</v>
      </c>
      <c r="L16" s="117" t="str">
        <f>'HASIL RASIO'!K28</f>
        <v>"Lihat benchmark industri"</v>
      </c>
    </row>
    <row r="17" spans="2:12" ht="15.75" customHeight="1">
      <c r="B17" s="119" t="s">
        <v>242</v>
      </c>
      <c r="C17" s="120" t="s">
        <v>243</v>
      </c>
      <c r="D17" s="121">
        <f>'HASIL RASIO'!E6</f>
        <v>0.81818181818181823</v>
      </c>
      <c r="E17" s="122" t="s">
        <v>543</v>
      </c>
      <c r="F17" s="123" t="str">
        <f>'HASIL RASIO'!K6</f>
        <v>SEHAT ✓</v>
      </c>
      <c r="H17" s="119" t="s">
        <v>341</v>
      </c>
      <c r="I17" s="120" t="s">
        <v>544</v>
      </c>
      <c r="J17" s="124">
        <f>'HASIL RASIO'!E31</f>
        <v>2857142.8571428573</v>
      </c>
      <c r="K17" s="122" t="s">
        <v>545</v>
      </c>
      <c r="L17" s="123" t="str">
        <f>'HASIL RASIO'!K31</f>
        <v>"Lihat benchmark kategori"</v>
      </c>
    </row>
    <row r="18" spans="2:12" ht="15.75" customHeight="1">
      <c r="B18" s="114" t="s">
        <v>248</v>
      </c>
      <c r="C18" s="88" t="s">
        <v>546</v>
      </c>
      <c r="D18" s="125">
        <f>'HASIL RASIO'!E7</f>
        <v>1.4285714285714285E-2</v>
      </c>
      <c r="E18" s="116" t="s">
        <v>547</v>
      </c>
      <c r="F18" s="117" t="str">
        <f>'HASIL RASIO'!K7</f>
        <v>PERHATIAN</v>
      </c>
      <c r="H18" s="114" t="s">
        <v>348</v>
      </c>
      <c r="I18" s="88" t="s">
        <v>548</v>
      </c>
      <c r="J18" s="125">
        <f>'HASIL RASIO'!E32</f>
        <v>9.2307692307692313E-2</v>
      </c>
      <c r="K18" s="116" t="s">
        <v>549</v>
      </c>
      <c r="L18" s="117" t="str">
        <f>'HASIL RASIO'!K32</f>
        <v>BERISIKO ✗</v>
      </c>
    </row>
    <row r="19" spans="2:12" ht="15.75" customHeight="1">
      <c r="B19" s="119" t="s">
        <v>254</v>
      </c>
      <c r="C19" s="120" t="s">
        <v>550</v>
      </c>
      <c r="D19" s="126">
        <f>'HASIL RASIO'!E8</f>
        <v>5.8465403942790876E-3</v>
      </c>
      <c r="E19" s="122" t="s">
        <v>547</v>
      </c>
      <c r="F19" s="123" t="str">
        <f>'HASIL RASIO'!K8</f>
        <v>PERHATIAN</v>
      </c>
      <c r="H19" s="119" t="s">
        <v>356</v>
      </c>
      <c r="I19" s="120" t="s">
        <v>551</v>
      </c>
      <c r="J19" s="126">
        <f>'HASIL RASIO'!E33</f>
        <v>0.11538461538461539</v>
      </c>
      <c r="K19" s="122" t="s">
        <v>552</v>
      </c>
      <c r="L19" s="123" t="str">
        <f>'HASIL RASIO'!K33</f>
        <v>SEHAT ✓</v>
      </c>
    </row>
    <row r="20" spans="2:12" ht="15.75" customHeight="1">
      <c r="B20" s="114" t="s">
        <v>260</v>
      </c>
      <c r="C20" s="88" t="s">
        <v>261</v>
      </c>
      <c r="D20" s="115">
        <f>'HASIL RASIO'!E11</f>
        <v>1.75</v>
      </c>
      <c r="E20" s="116" t="s">
        <v>553</v>
      </c>
      <c r="F20" s="117" t="str">
        <f>'HASIL RASIO'!K11</f>
        <v>SEHAT ✓</v>
      </c>
      <c r="H20" s="114" t="s">
        <v>363</v>
      </c>
      <c r="I20" s="88" t="s">
        <v>554</v>
      </c>
      <c r="J20" s="115">
        <f>'HASIL RASIO'!E34</f>
        <v>0.36363636363636365</v>
      </c>
      <c r="K20" s="116" t="s">
        <v>555</v>
      </c>
      <c r="L20" s="117" t="str">
        <f>'HASIL RASIO'!K34</f>
        <v>BERISIKO ✗</v>
      </c>
    </row>
    <row r="21" spans="2:12" ht="15.75" customHeight="1">
      <c r="B21" s="119" t="s">
        <v>265</v>
      </c>
      <c r="C21" s="120" t="s">
        <v>37</v>
      </c>
      <c r="D21" s="121">
        <f>'HASIL RASIO'!E12</f>
        <v>159.65978128797084</v>
      </c>
      <c r="E21" s="122" t="s">
        <v>556</v>
      </c>
      <c r="F21" s="123" t="str">
        <f>'HASIL RASIO'!K12</f>
        <v>SEHAT ✓</v>
      </c>
      <c r="H21" s="119" t="s">
        <v>381</v>
      </c>
      <c r="I21" s="120" t="s">
        <v>557</v>
      </c>
      <c r="J21" s="126">
        <f>'HASIL RASIO'!E39</f>
        <v>0.81175106300734445</v>
      </c>
      <c r="K21" s="122" t="s">
        <v>558</v>
      </c>
      <c r="L21" s="123" t="str">
        <f>'HASIL RASIO'!K39</f>
        <v>BERISIKO ✗</v>
      </c>
    </row>
    <row r="22" spans="2:12" ht="15.75" customHeight="1">
      <c r="B22" s="114" t="s">
        <v>271</v>
      </c>
      <c r="C22" s="88" t="s">
        <v>559</v>
      </c>
      <c r="D22" s="115">
        <f>'HASIL RASIO'!E13</f>
        <v>0.47727272727272729</v>
      </c>
      <c r="E22" s="116" t="s">
        <v>560</v>
      </c>
      <c r="F22" s="117" t="str">
        <f>'HASIL RASIO'!K13</f>
        <v>SEHAT ✓</v>
      </c>
      <c r="H22" s="114" t="s">
        <v>386</v>
      </c>
      <c r="I22" s="88" t="s">
        <v>561</v>
      </c>
      <c r="J22" s="125">
        <f>'HASIL RASIO'!E40</f>
        <v>4.8318515655199075E-2</v>
      </c>
      <c r="K22" s="116" t="s">
        <v>562</v>
      </c>
      <c r="L22" s="117" t="str">
        <f>'HASIL RASIO'!K40</f>
        <v>BERISIKO ✗</v>
      </c>
    </row>
    <row r="23" spans="2:12" ht="15.75" customHeight="1">
      <c r="B23" s="119" t="s">
        <v>283</v>
      </c>
      <c r="C23" s="120" t="s">
        <v>28</v>
      </c>
      <c r="D23" s="126">
        <f>'HASIL RASIO'!E17</f>
        <v>5.8465403942790876E-3</v>
      </c>
      <c r="E23" s="122" t="s">
        <v>563</v>
      </c>
      <c r="F23" s="123" t="str">
        <f>'HASIL RASIO'!K17</f>
        <v>PERHATIAN</v>
      </c>
      <c r="H23" s="119" t="s">
        <v>392</v>
      </c>
      <c r="I23" s="120" t="s">
        <v>564</v>
      </c>
      <c r="J23" s="126">
        <f>'HASIL RASIO'!E41</f>
        <v>0.10146888287591806</v>
      </c>
      <c r="K23" s="122" t="s">
        <v>562</v>
      </c>
      <c r="L23" s="123" t="str">
        <f>'HASIL RASIO'!K41</f>
        <v>SEHAT ✓</v>
      </c>
    </row>
    <row r="24" spans="2:12" ht="15.75" customHeight="1">
      <c r="B24" s="114" t="s">
        <v>286</v>
      </c>
      <c r="C24" s="88" t="s">
        <v>565</v>
      </c>
      <c r="D24" s="125">
        <f>'HASIL RASIO'!E18</f>
        <v>9.2345078979343867E-2</v>
      </c>
      <c r="E24" s="116" t="s">
        <v>566</v>
      </c>
      <c r="F24" s="117" t="str">
        <f>'HASIL RASIO'!K18</f>
        <v>SEHAT ✓</v>
      </c>
      <c r="H24" s="114" t="s">
        <v>398</v>
      </c>
      <c r="I24" s="88" t="s">
        <v>567</v>
      </c>
      <c r="J24" s="125">
        <f>'HASIL RASIO'!E42</f>
        <v>9.1805179744878243E-2</v>
      </c>
      <c r="K24" s="116" t="s">
        <v>568</v>
      </c>
      <c r="L24" s="117" t="str">
        <f>'HASIL RASIO'!K42</f>
        <v>PERHATIAN</v>
      </c>
    </row>
    <row r="25" spans="2:12" ht="15.75" customHeight="1">
      <c r="B25" s="119" t="s">
        <v>292</v>
      </c>
      <c r="C25" s="120" t="s">
        <v>569</v>
      </c>
      <c r="D25" s="126">
        <f>'HASIL RASIO'!E19</f>
        <v>0.58446076536528802</v>
      </c>
      <c r="E25" s="122" t="s">
        <v>570</v>
      </c>
      <c r="F25" s="123" t="str">
        <f>'HASIL RASIO'!K19</f>
        <v>RISIKO SEDANG</v>
      </c>
      <c r="H25" s="119" t="s">
        <v>406</v>
      </c>
      <c r="I25" s="120" t="s">
        <v>571</v>
      </c>
      <c r="J25" s="121">
        <f>'HASIL RASIO'!E45</f>
        <v>15.135135135135135</v>
      </c>
      <c r="K25" s="122" t="s">
        <v>572</v>
      </c>
      <c r="L25" s="123" t="str">
        <f>'HASIL RASIO'!K45</f>
        <v>SEHAT ✓</v>
      </c>
    </row>
    <row r="26" spans="2:12" ht="15.75" customHeight="1">
      <c r="B26" s="114" t="s">
        <v>298</v>
      </c>
      <c r="C26" s="88" t="s">
        <v>573</v>
      </c>
      <c r="D26" s="118">
        <f>'HASIL RASIO'!E20</f>
        <v>14696428.571428571</v>
      </c>
      <c r="E26" s="116" t="s">
        <v>574</v>
      </c>
      <c r="F26" s="117" t="str">
        <f>'HASIL RASIO'!K20</f>
        <v>"Lihat benchmark SPMI"</v>
      </c>
      <c r="H26" s="114" t="s">
        <v>413</v>
      </c>
      <c r="I26" s="88" t="s">
        <v>414</v>
      </c>
      <c r="J26" s="125">
        <f>'HASIL RASIO'!E46</f>
        <v>0.28000000000000003</v>
      </c>
      <c r="K26" s="116" t="s">
        <v>575</v>
      </c>
      <c r="L26" s="117" t="str">
        <f>'HASIL RASIO'!K46</f>
        <v>PERHATIAN</v>
      </c>
    </row>
    <row r="27" spans="2:12" ht="15.75" customHeight="1">
      <c r="B27" s="119" t="s">
        <v>317</v>
      </c>
      <c r="C27" s="120" t="s">
        <v>576</v>
      </c>
      <c r="D27" s="121">
        <f>'HASIL RASIO'!E25</f>
        <v>1.2918181818181818</v>
      </c>
      <c r="E27" s="122" t="s">
        <v>577</v>
      </c>
      <c r="F27" s="123" t="str">
        <f>'HASIL RASIO'!K25</f>
        <v>PERHATIAN</v>
      </c>
      <c r="H27" s="119" t="s">
        <v>420</v>
      </c>
      <c r="I27" s="120" t="s">
        <v>578</v>
      </c>
      <c r="J27" s="124">
        <f>'HASIL RASIO'!E47</f>
        <v>8640000</v>
      </c>
      <c r="K27" s="122" t="s">
        <v>579</v>
      </c>
      <c r="L27" s="123" t="str">
        <f>'HASIL RASIO'!K47</f>
        <v>STABIL</v>
      </c>
    </row>
    <row r="28" spans="2:12" ht="15.75" customHeight="1">
      <c r="B28" s="114" t="s">
        <v>323</v>
      </c>
      <c r="C28" s="88" t="s">
        <v>580</v>
      </c>
      <c r="D28" s="125">
        <f>'HASIL RASIO'!E26</f>
        <v>0.24336283185840707</v>
      </c>
      <c r="E28" s="116" t="s">
        <v>581</v>
      </c>
      <c r="F28" s="117" t="str">
        <f>'HASIL RASIO'!K26</f>
        <v>SEHAT ✓</v>
      </c>
      <c r="H28" s="114" t="s">
        <v>427</v>
      </c>
      <c r="I28" s="88" t="s">
        <v>582</v>
      </c>
      <c r="J28" s="125">
        <f>'HASIL RASIO'!E48</f>
        <v>0.48359659781287972</v>
      </c>
      <c r="K28" s="116" t="s">
        <v>583</v>
      </c>
      <c r="L28" s="117" t="str">
        <f>'HASIL RASIO'!K48</f>
        <v>SEHAT ✓</v>
      </c>
    </row>
    <row r="29" spans="2:12" ht="15.75" customHeight="1">
      <c r="B29" s="119" t="s">
        <v>329</v>
      </c>
      <c r="C29" s="120" t="s">
        <v>584</v>
      </c>
      <c r="D29" s="121">
        <f>'HASIL RASIO'!E27</f>
        <v>1.7762500000000001</v>
      </c>
      <c r="E29" s="122" t="s">
        <v>585</v>
      </c>
      <c r="F29" s="123" t="str">
        <f>'HASIL RASIO'!K27</f>
        <v>BERISIKO ✗</v>
      </c>
    </row>
  </sheetData>
  <mergeCells count="4">
    <mergeCell ref="A1:L1"/>
    <mergeCell ref="A2:L2"/>
    <mergeCell ref="A7:L7"/>
    <mergeCell ref="A14:L1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9"/>
  <sheetViews>
    <sheetView zoomScaleNormal="100" workbookViewId="0"/>
  </sheetViews>
  <sheetFormatPr defaultColWidth="8.7109375" defaultRowHeight="15"/>
  <cols>
    <col min="1" max="1" width="44" customWidth="1"/>
    <col min="2" max="2" width="14" customWidth="1"/>
    <col min="3" max="3" width="16" customWidth="1"/>
    <col min="4" max="6" width="10" customWidth="1"/>
    <col min="7" max="7" width="40" customWidth="1"/>
  </cols>
  <sheetData>
    <row r="1" spans="1:7" ht="21.75" customHeight="1">
      <c r="A1" s="13" t="s">
        <v>586</v>
      </c>
      <c r="B1" s="13"/>
      <c r="C1" s="13"/>
      <c r="D1" s="13"/>
      <c r="E1" s="13"/>
      <c r="F1" s="13"/>
      <c r="G1" s="13"/>
    </row>
    <row r="2" spans="1:7" ht="18" customHeight="1">
      <c r="A2" s="8" t="s">
        <v>587</v>
      </c>
      <c r="B2" s="8"/>
      <c r="C2" s="8"/>
      <c r="D2" s="8"/>
      <c r="E2" s="8"/>
      <c r="F2" s="8"/>
      <c r="G2" s="8"/>
    </row>
    <row r="3" spans="1:7" ht="21.75" customHeight="1">
      <c r="A3" s="49" t="s">
        <v>229</v>
      </c>
      <c r="B3" s="49" t="s">
        <v>588</v>
      </c>
      <c r="C3" s="49" t="s">
        <v>509</v>
      </c>
      <c r="D3" s="49" t="s">
        <v>589</v>
      </c>
      <c r="E3" s="49" t="s">
        <v>590</v>
      </c>
      <c r="F3" s="49" t="s">
        <v>591</v>
      </c>
      <c r="G3" s="49" t="s">
        <v>592</v>
      </c>
    </row>
    <row r="4" spans="1:7" ht="18" customHeight="1">
      <c r="A4" s="88" t="s">
        <v>237</v>
      </c>
      <c r="B4" s="117" t="s">
        <v>589</v>
      </c>
      <c r="C4" s="117" t="s">
        <v>513</v>
      </c>
      <c r="D4" s="127" t="s">
        <v>593</v>
      </c>
      <c r="E4" s="103"/>
      <c r="F4" s="103"/>
      <c r="G4" s="95" t="s">
        <v>594</v>
      </c>
    </row>
    <row r="5" spans="1:7" ht="18" customHeight="1">
      <c r="A5" s="120" t="s">
        <v>243</v>
      </c>
      <c r="B5" s="123" t="s">
        <v>589</v>
      </c>
      <c r="C5" s="123" t="s">
        <v>513</v>
      </c>
      <c r="D5" s="128" t="s">
        <v>593</v>
      </c>
      <c r="E5" s="94"/>
      <c r="F5" s="94"/>
      <c r="G5" s="54" t="s">
        <v>595</v>
      </c>
    </row>
    <row r="6" spans="1:7" ht="18" customHeight="1">
      <c r="A6" s="88" t="s">
        <v>249</v>
      </c>
      <c r="B6" s="117" t="s">
        <v>590</v>
      </c>
      <c r="C6" s="117" t="s">
        <v>513</v>
      </c>
      <c r="D6" s="103"/>
      <c r="E6" s="127" t="s">
        <v>593</v>
      </c>
      <c r="F6" s="103"/>
      <c r="G6" s="95" t="s">
        <v>596</v>
      </c>
    </row>
    <row r="7" spans="1:7" ht="18" customHeight="1">
      <c r="A7" s="129" t="s">
        <v>597</v>
      </c>
      <c r="B7" s="130" t="s">
        <v>589</v>
      </c>
      <c r="C7" s="131" t="s">
        <v>598</v>
      </c>
      <c r="D7" s="132" t="s">
        <v>593</v>
      </c>
      <c r="E7" s="133"/>
      <c r="F7" s="133"/>
      <c r="G7" s="26" t="s">
        <v>599</v>
      </c>
    </row>
    <row r="8" spans="1:7" ht="18" customHeight="1">
      <c r="A8" s="88" t="s">
        <v>261</v>
      </c>
      <c r="B8" s="117" t="s">
        <v>589</v>
      </c>
      <c r="C8" s="117" t="s">
        <v>517</v>
      </c>
      <c r="D8" s="127" t="s">
        <v>593</v>
      </c>
      <c r="E8" s="103"/>
      <c r="F8" s="103"/>
      <c r="G8" s="95" t="s">
        <v>600</v>
      </c>
    </row>
    <row r="9" spans="1:7" ht="18" customHeight="1">
      <c r="A9" s="120" t="s">
        <v>266</v>
      </c>
      <c r="B9" s="123" t="s">
        <v>589</v>
      </c>
      <c r="C9" s="123" t="s">
        <v>517</v>
      </c>
      <c r="D9" s="128" t="s">
        <v>593</v>
      </c>
      <c r="E9" s="94"/>
      <c r="F9" s="94"/>
      <c r="G9" s="54" t="s">
        <v>601</v>
      </c>
    </row>
    <row r="10" spans="1:7" ht="18" customHeight="1">
      <c r="A10" s="88" t="s">
        <v>272</v>
      </c>
      <c r="B10" s="117" t="s">
        <v>589</v>
      </c>
      <c r="C10" s="117" t="s">
        <v>513</v>
      </c>
      <c r="D10" s="127" t="s">
        <v>593</v>
      </c>
      <c r="E10" s="103"/>
      <c r="F10" s="103"/>
      <c r="G10" s="95" t="s">
        <v>602</v>
      </c>
    </row>
    <row r="11" spans="1:7" ht="18" customHeight="1">
      <c r="A11" s="134" t="s">
        <v>603</v>
      </c>
      <c r="B11" s="135" t="s">
        <v>589</v>
      </c>
      <c r="C11" s="135" t="s">
        <v>513</v>
      </c>
      <c r="D11" s="136" t="s">
        <v>593</v>
      </c>
      <c r="E11" s="110"/>
      <c r="F11" s="110"/>
      <c r="G11" s="137" t="s">
        <v>604</v>
      </c>
    </row>
    <row r="12" spans="1:7" ht="18" customHeight="1">
      <c r="A12" s="129" t="s">
        <v>605</v>
      </c>
      <c r="B12" s="130" t="s">
        <v>589</v>
      </c>
      <c r="C12" s="131" t="s">
        <v>521</v>
      </c>
      <c r="D12" s="132" t="s">
        <v>593</v>
      </c>
      <c r="E12" s="133"/>
      <c r="F12" s="133"/>
      <c r="G12" s="26" t="s">
        <v>606</v>
      </c>
    </row>
    <row r="13" spans="1:7" ht="18" customHeight="1">
      <c r="A13" s="120" t="s">
        <v>607</v>
      </c>
      <c r="B13" s="123" t="s">
        <v>589</v>
      </c>
      <c r="C13" s="123" t="s">
        <v>513</v>
      </c>
      <c r="D13" s="128" t="s">
        <v>593</v>
      </c>
      <c r="E13" s="94"/>
      <c r="F13" s="94"/>
      <c r="G13" s="54" t="s">
        <v>608</v>
      </c>
    </row>
    <row r="14" spans="1:7" ht="18" customHeight="1">
      <c r="A14" s="129" t="s">
        <v>609</v>
      </c>
      <c r="B14" s="131" t="s">
        <v>590</v>
      </c>
      <c r="C14" s="131" t="s">
        <v>513</v>
      </c>
      <c r="D14" s="133"/>
      <c r="E14" s="132" t="s">
        <v>593</v>
      </c>
      <c r="F14" s="133"/>
      <c r="G14" s="26" t="s">
        <v>610</v>
      </c>
    </row>
    <row r="15" spans="1:7" ht="18" customHeight="1">
      <c r="A15" s="120" t="s">
        <v>611</v>
      </c>
      <c r="B15" s="123" t="s">
        <v>590</v>
      </c>
      <c r="C15" s="123" t="s">
        <v>521</v>
      </c>
      <c r="D15" s="94"/>
      <c r="E15" s="128" t="s">
        <v>593</v>
      </c>
      <c r="F15" s="94"/>
      <c r="G15" s="54" t="s">
        <v>612</v>
      </c>
    </row>
    <row r="16" spans="1:7" ht="18" customHeight="1">
      <c r="A16" s="134" t="s">
        <v>613</v>
      </c>
      <c r="B16" s="135" t="s">
        <v>590</v>
      </c>
      <c r="C16" s="135" t="s">
        <v>513</v>
      </c>
      <c r="D16" s="110"/>
      <c r="E16" s="136" t="s">
        <v>593</v>
      </c>
      <c r="F16" s="110"/>
      <c r="G16" s="137" t="s">
        <v>614</v>
      </c>
    </row>
    <row r="17" spans="1:7" ht="18" customHeight="1">
      <c r="A17" s="129" t="s">
        <v>615</v>
      </c>
      <c r="B17" s="130" t="s">
        <v>589</v>
      </c>
      <c r="C17" s="131" t="s">
        <v>513</v>
      </c>
      <c r="D17" s="132" t="s">
        <v>593</v>
      </c>
      <c r="E17" s="133"/>
      <c r="F17" s="133"/>
      <c r="G17" s="26" t="s">
        <v>616</v>
      </c>
    </row>
    <row r="18" spans="1:7" ht="18" customHeight="1">
      <c r="A18" s="129" t="s">
        <v>617</v>
      </c>
      <c r="B18" s="130" t="s">
        <v>589</v>
      </c>
      <c r="C18" s="131" t="s">
        <v>513</v>
      </c>
      <c r="D18" s="132" t="s">
        <v>593</v>
      </c>
      <c r="E18" s="133"/>
      <c r="F18" s="133"/>
      <c r="G18" s="26" t="s">
        <v>618</v>
      </c>
    </row>
    <row r="19" spans="1:7" ht="18" customHeight="1">
      <c r="A19" s="129" t="s">
        <v>619</v>
      </c>
      <c r="B19" s="130" t="s">
        <v>589</v>
      </c>
      <c r="C19" s="131" t="s">
        <v>513</v>
      </c>
      <c r="D19" s="132" t="s">
        <v>593</v>
      </c>
      <c r="E19" s="133"/>
      <c r="F19" s="133"/>
      <c r="G19" s="26" t="s">
        <v>620</v>
      </c>
    </row>
    <row r="20" spans="1:7" ht="18" customHeight="1">
      <c r="A20" s="88" t="s">
        <v>335</v>
      </c>
      <c r="B20" s="117" t="s">
        <v>590</v>
      </c>
      <c r="C20" s="117" t="s">
        <v>513</v>
      </c>
      <c r="D20" s="103"/>
      <c r="E20" s="127" t="s">
        <v>593</v>
      </c>
      <c r="F20" s="103"/>
      <c r="G20" s="95" t="s">
        <v>621</v>
      </c>
    </row>
    <row r="21" spans="1:7" ht="18" customHeight="1">
      <c r="A21" s="129" t="s">
        <v>622</v>
      </c>
      <c r="B21" s="131" t="s">
        <v>591</v>
      </c>
      <c r="C21" s="131" t="s">
        <v>623</v>
      </c>
      <c r="D21" s="133"/>
      <c r="E21" s="133"/>
      <c r="F21" s="132" t="s">
        <v>593</v>
      </c>
      <c r="G21" s="26" t="s">
        <v>624</v>
      </c>
    </row>
    <row r="22" spans="1:7" ht="18" customHeight="1">
      <c r="A22" s="129" t="s">
        <v>625</v>
      </c>
      <c r="B22" s="131" t="s">
        <v>590</v>
      </c>
      <c r="C22" s="131" t="s">
        <v>626</v>
      </c>
      <c r="D22" s="133"/>
      <c r="E22" s="132" t="s">
        <v>593</v>
      </c>
      <c r="F22" s="133"/>
      <c r="G22" s="26" t="s">
        <v>627</v>
      </c>
    </row>
    <row r="23" spans="1:7" ht="18" customHeight="1">
      <c r="A23" s="120" t="s">
        <v>357</v>
      </c>
      <c r="B23" s="123" t="s">
        <v>591</v>
      </c>
      <c r="C23" s="123" t="s">
        <v>626</v>
      </c>
      <c r="D23" s="94"/>
      <c r="E23" s="94"/>
      <c r="F23" s="128" t="s">
        <v>593</v>
      </c>
      <c r="G23" s="54" t="s">
        <v>628</v>
      </c>
    </row>
    <row r="24" spans="1:7" ht="18" customHeight="1">
      <c r="A24" s="129" t="s">
        <v>629</v>
      </c>
      <c r="B24" s="131" t="s">
        <v>590</v>
      </c>
      <c r="C24" s="131" t="s">
        <v>630</v>
      </c>
      <c r="D24" s="133"/>
      <c r="E24" s="132" t="s">
        <v>593</v>
      </c>
      <c r="F24" s="133"/>
      <c r="G24" s="26" t="s">
        <v>631</v>
      </c>
    </row>
    <row r="25" spans="1:7" ht="18" customHeight="1">
      <c r="A25" s="134" t="s">
        <v>632</v>
      </c>
      <c r="B25" s="135" t="s">
        <v>591</v>
      </c>
      <c r="C25" s="135" t="s">
        <v>513</v>
      </c>
      <c r="D25" s="110"/>
      <c r="E25" s="110"/>
      <c r="F25" s="136" t="s">
        <v>593</v>
      </c>
      <c r="G25" s="137" t="s">
        <v>633</v>
      </c>
    </row>
    <row r="26" spans="1:7" ht="18" customHeight="1">
      <c r="A26" s="134" t="s">
        <v>634</v>
      </c>
      <c r="B26" s="135" t="s">
        <v>591</v>
      </c>
      <c r="C26" s="135" t="s">
        <v>513</v>
      </c>
      <c r="D26" s="110"/>
      <c r="E26" s="110"/>
      <c r="F26" s="136" t="s">
        <v>593</v>
      </c>
      <c r="G26" s="137" t="s">
        <v>635</v>
      </c>
    </row>
    <row r="27" spans="1:7" ht="18" customHeight="1">
      <c r="A27" s="129" t="s">
        <v>636</v>
      </c>
      <c r="B27" s="131" t="s">
        <v>590</v>
      </c>
      <c r="C27" s="131" t="s">
        <v>513</v>
      </c>
      <c r="D27" s="133"/>
      <c r="E27" s="132" t="s">
        <v>593</v>
      </c>
      <c r="F27" s="133"/>
      <c r="G27" s="26" t="s">
        <v>637</v>
      </c>
    </row>
    <row r="28" spans="1:7" ht="18" customHeight="1">
      <c r="A28" s="129" t="s">
        <v>638</v>
      </c>
      <c r="B28" s="131" t="s">
        <v>590</v>
      </c>
      <c r="C28" s="131" t="s">
        <v>639</v>
      </c>
      <c r="D28" s="133"/>
      <c r="E28" s="132" t="s">
        <v>593</v>
      </c>
      <c r="F28" s="133"/>
      <c r="G28" s="26" t="s">
        <v>640</v>
      </c>
    </row>
    <row r="29" spans="1:7" ht="18" customHeight="1">
      <c r="A29" s="120" t="s">
        <v>641</v>
      </c>
      <c r="B29" s="123" t="s">
        <v>590</v>
      </c>
      <c r="C29" s="123" t="s">
        <v>642</v>
      </c>
      <c r="D29" s="94"/>
      <c r="E29" s="128" t="s">
        <v>593</v>
      </c>
      <c r="F29" s="94"/>
      <c r="G29" s="54" t="s">
        <v>643</v>
      </c>
    </row>
    <row r="30" spans="1:7" ht="18" customHeight="1">
      <c r="A30" s="129" t="s">
        <v>644</v>
      </c>
      <c r="B30" s="131" t="s">
        <v>590</v>
      </c>
      <c r="C30" s="131" t="s">
        <v>513</v>
      </c>
      <c r="D30" s="133"/>
      <c r="E30" s="132" t="s">
        <v>593</v>
      </c>
      <c r="F30" s="133"/>
      <c r="G30" s="26" t="s">
        <v>645</v>
      </c>
    </row>
    <row r="31" spans="1:7" ht="18" customHeight="1">
      <c r="A31" s="120" t="s">
        <v>407</v>
      </c>
      <c r="B31" s="123" t="s">
        <v>646</v>
      </c>
      <c r="C31" s="123" t="s">
        <v>647</v>
      </c>
      <c r="D31" s="94"/>
      <c r="E31" s="128" t="s">
        <v>593</v>
      </c>
      <c r="F31" s="94"/>
      <c r="G31" s="54" t="s">
        <v>648</v>
      </c>
    </row>
    <row r="32" spans="1:7" ht="18" customHeight="1">
      <c r="A32" s="88" t="s">
        <v>414</v>
      </c>
      <c r="B32" s="117" t="s">
        <v>646</v>
      </c>
      <c r="C32" s="117" t="s">
        <v>649</v>
      </c>
      <c r="D32" s="103"/>
      <c r="E32" s="127" t="s">
        <v>593</v>
      </c>
      <c r="F32" s="103"/>
      <c r="G32" s="95" t="s">
        <v>650</v>
      </c>
    </row>
    <row r="33" spans="1:7" ht="18" customHeight="1">
      <c r="A33" s="120" t="s">
        <v>421</v>
      </c>
      <c r="B33" s="123" t="s">
        <v>591</v>
      </c>
      <c r="C33" s="123" t="s">
        <v>513</v>
      </c>
      <c r="D33" s="94"/>
      <c r="E33" s="94"/>
      <c r="F33" s="128" t="s">
        <v>593</v>
      </c>
      <c r="G33" s="54" t="s">
        <v>651</v>
      </c>
    </row>
    <row r="34" spans="1:7" ht="18" customHeight="1">
      <c r="A34" s="88" t="s">
        <v>428</v>
      </c>
      <c r="B34" s="117" t="s">
        <v>590</v>
      </c>
      <c r="C34" s="117" t="s">
        <v>652</v>
      </c>
      <c r="D34" s="103"/>
      <c r="E34" s="127" t="s">
        <v>593</v>
      </c>
      <c r="F34" s="103"/>
      <c r="G34" s="95" t="s">
        <v>653</v>
      </c>
    </row>
    <row r="35" spans="1:7" ht="18" customHeight="1">
      <c r="A35" s="134" t="s">
        <v>654</v>
      </c>
      <c r="B35" s="138" t="s">
        <v>589</v>
      </c>
      <c r="C35" s="135" t="s">
        <v>652</v>
      </c>
      <c r="D35" s="136" t="s">
        <v>593</v>
      </c>
      <c r="E35" s="110"/>
      <c r="F35" s="110"/>
      <c r="G35" s="139" t="s">
        <v>655</v>
      </c>
    </row>
    <row r="36" spans="1:7" ht="18" customHeight="1">
      <c r="A36" s="134" t="s">
        <v>656</v>
      </c>
      <c r="B36" s="138" t="s">
        <v>589</v>
      </c>
      <c r="C36" s="135" t="s">
        <v>513</v>
      </c>
      <c r="D36" s="136" t="s">
        <v>593</v>
      </c>
      <c r="E36" s="110"/>
      <c r="F36" s="110"/>
      <c r="G36" s="139" t="s">
        <v>657</v>
      </c>
    </row>
    <row r="37" spans="1:7" ht="18" customHeight="1">
      <c r="A37" s="134" t="s">
        <v>658</v>
      </c>
      <c r="B37" s="135" t="s">
        <v>589</v>
      </c>
      <c r="C37" s="135" t="s">
        <v>521</v>
      </c>
      <c r="D37" s="136" t="s">
        <v>593</v>
      </c>
      <c r="E37" s="110"/>
      <c r="F37" s="110"/>
      <c r="G37" s="137" t="s">
        <v>659</v>
      </c>
    </row>
    <row r="38" spans="1:7" ht="18" customHeight="1">
      <c r="A38" s="134" t="s">
        <v>660</v>
      </c>
      <c r="B38" s="135" t="s">
        <v>590</v>
      </c>
      <c r="C38" s="135" t="s">
        <v>513</v>
      </c>
      <c r="D38" s="110"/>
      <c r="E38" s="136" t="s">
        <v>593</v>
      </c>
      <c r="F38" s="110"/>
      <c r="G38" s="137" t="s">
        <v>661</v>
      </c>
    </row>
    <row r="39" spans="1:7" ht="18" customHeight="1">
      <c r="A39" s="134" t="s">
        <v>662</v>
      </c>
      <c r="B39" s="135" t="s">
        <v>591</v>
      </c>
      <c r="C39" s="135" t="s">
        <v>663</v>
      </c>
      <c r="D39" s="110"/>
      <c r="E39" s="110"/>
      <c r="F39" s="136" t="s">
        <v>593</v>
      </c>
      <c r="G39" s="137" t="s">
        <v>664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2026-04-04T13:44:27Z</dcterms:created>
  <dcterms:modified xsi:type="dcterms:W3CDTF">2026-05-14T13:22:07Z</dcterms:modified>
  <cp:category/>
  <cp:contentStatus/>
</cp:coreProperties>
</file>